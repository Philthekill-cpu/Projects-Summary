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_lee/Desktop/Solar_ASSESSMENT/"/>
    </mc:Choice>
  </mc:AlternateContent>
  <xr:revisionPtr revIDLastSave="0" documentId="13_ncr:1_{EA1C222E-6AFF-EB43-82B4-787BA5556D30}" xr6:coauthVersionLast="45" xr6:coauthVersionMax="45" xr10:uidLastSave="{00000000-0000-0000-0000-000000000000}"/>
  <bookViews>
    <workbookView xWindow="760" yWindow="460" windowWidth="28040" windowHeight="16500" xr2:uid="{7CB83FFF-6AF1-7B40-8E39-C12B9438533C}"/>
  </bookViews>
  <sheets>
    <sheet name="Read me First" sheetId="3" r:id="rId1"/>
    <sheet name="Gibraltar" sheetId="1" r:id="rId2"/>
    <sheet name="Madri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" i="2" l="1"/>
  <c r="C27" i="2"/>
  <c r="C28" i="2"/>
  <c r="C29" i="2"/>
  <c r="C26" i="2"/>
  <c r="C17" i="2"/>
  <c r="C18" i="2"/>
  <c r="C19" i="2"/>
  <c r="C20" i="2"/>
  <c r="C21" i="2"/>
  <c r="C16" i="2"/>
  <c r="C30" i="1"/>
  <c r="C31" i="1"/>
  <c r="C32" i="1"/>
  <c r="C33" i="1"/>
  <c r="C29" i="1"/>
  <c r="C20" i="1"/>
  <c r="C21" i="1"/>
  <c r="C22" i="1"/>
  <c r="C23" i="1"/>
  <c r="C24" i="1"/>
  <c r="C19" i="1"/>
  <c r="C6" i="2" l="1"/>
  <c r="C7" i="2" s="1"/>
  <c r="C12" i="1" l="1"/>
  <c r="C6" i="1"/>
  <c r="G6" i="1" l="1"/>
  <c r="H6" i="1" s="1"/>
  <c r="D6" i="1"/>
  <c r="C3" i="2" l="1"/>
  <c r="D3" i="2" s="1"/>
  <c r="K6" i="1"/>
  <c r="L6" i="1" s="1"/>
</calcChain>
</file>

<file path=xl/sharedStrings.xml><?xml version="1.0" encoding="utf-8"?>
<sst xmlns="http://schemas.openxmlformats.org/spreadsheetml/2006/main" count="72" uniqueCount="38">
  <si>
    <t>https://www.positech.co.uk/cliffsblog/2022/04/30/solar-farm-development-costs-so-far/</t>
  </si>
  <si>
    <t xml:space="preserve">http://www.positechenergy.com/ </t>
  </si>
  <si>
    <t>Company</t>
  </si>
  <si>
    <t>Blog</t>
  </si>
  <si>
    <t>PV Modules</t>
  </si>
  <si>
    <t>Quantity</t>
  </si>
  <si>
    <t>Price (£)</t>
  </si>
  <si>
    <t>Rated Power Wp</t>
  </si>
  <si>
    <t>Per unit (£)</t>
  </si>
  <si>
    <t>Required with discount</t>
  </si>
  <si>
    <t>Rated Power kW</t>
  </si>
  <si>
    <t>Gibraltar</t>
  </si>
  <si>
    <t>wiring</t>
  </si>
  <si>
    <t>monitoring</t>
  </si>
  <si>
    <t>measurements</t>
  </si>
  <si>
    <t>settings</t>
  </si>
  <si>
    <t>grid connecion</t>
  </si>
  <si>
    <t>land prep</t>
  </si>
  <si>
    <t>OPEX (Operational cost)</t>
  </si>
  <si>
    <t>Installation Cost</t>
  </si>
  <si>
    <t>Salaries</t>
  </si>
  <si>
    <t>Repairs</t>
  </si>
  <si>
    <t>Land Rent</t>
  </si>
  <si>
    <t>Insurance</t>
  </si>
  <si>
    <t>Administration..</t>
  </si>
  <si>
    <t>Estimated PV Modules Cost</t>
  </si>
  <si>
    <t>Based on the cited source in the main</t>
  </si>
  <si>
    <t>Scaled up to 15MW</t>
  </si>
  <si>
    <t>Cost in USD per MW</t>
  </si>
  <si>
    <t>Cost In USD per MW</t>
  </si>
  <si>
    <t>Rough estimated Inverter cost</t>
  </si>
  <si>
    <t>Scaled to 150MW</t>
  </si>
  <si>
    <t>Land Cost per m^2</t>
  </si>
  <si>
    <t>Estimated Survey Study in GBP</t>
  </si>
  <si>
    <t>Required  PV Modules with estimated discount</t>
  </si>
  <si>
    <t>Required inverters with estimated discount</t>
  </si>
  <si>
    <t>Raw Data from various sources cited in the main</t>
  </si>
  <si>
    <t xml:space="preserve">Sensible calculations and estimation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</si>
</sst>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2" fontId="0" fillId="0" borderId="0" xfId="0" applyNumberFormat="1"/>
    <xf numFmtId="0" fontId="0" fillId="2" borderId="0" xfId="0" applyFill="1"/>
    <xf numFmtId="0" fontId="0" fillId="0" borderId="0" xfId="0" applyNumberFormat="1"/>
    <xf numFmtId="0" fontId="0" fillId="3" borderId="0" xfId="0" applyFill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2" fillId="2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positechenergy.com/" TargetMode="External"/><Relationship Id="rId1" Type="http://schemas.openxmlformats.org/officeDocument/2006/relationships/hyperlink" Target="https://www.positech.co.uk/cliffsblog/2022/04/30/solar-farm-development-costs-so-f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3103-5D67-7C4C-8397-9DEB9741C4DD}">
  <dimension ref="A1:B2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s="3"/>
      <c r="B1" t="s">
        <v>36</v>
      </c>
    </row>
    <row r="2" spans="1:2" x14ac:dyDescent="0.2">
      <c r="A2" s="5"/>
      <c r="B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86D4-D5AE-4C43-ACC1-4AC0FF8E7EE5}">
  <dimension ref="A1:O38"/>
  <sheetViews>
    <sheetView workbookViewId="0">
      <selection activeCell="A16" sqref="A16:B33"/>
    </sheetView>
  </sheetViews>
  <sheetFormatPr baseColWidth="10" defaultRowHeight="16" x14ac:dyDescent="0.2"/>
  <cols>
    <col min="1" max="1" width="17.5" customWidth="1"/>
    <col min="2" max="2" width="18" bestFit="1" customWidth="1"/>
    <col min="3" max="3" width="17.33203125" bestFit="1" customWidth="1"/>
    <col min="6" max="6" width="28.1640625" bestFit="1" customWidth="1"/>
    <col min="7" max="7" width="14.83203125" bestFit="1" customWidth="1"/>
    <col min="10" max="10" width="14.6640625" bestFit="1" customWidth="1"/>
  </cols>
  <sheetData>
    <row r="1" spans="1:15" x14ac:dyDescent="0.2">
      <c r="A1" s="1" t="s">
        <v>1</v>
      </c>
      <c r="D1" t="s">
        <v>2</v>
      </c>
    </row>
    <row r="2" spans="1:15" x14ac:dyDescent="0.2">
      <c r="A2" s="1" t="s">
        <v>0</v>
      </c>
      <c r="H2" t="s">
        <v>3</v>
      </c>
    </row>
    <row r="3" spans="1:15" x14ac:dyDescent="0.2">
      <c r="I3" t="s">
        <v>11</v>
      </c>
    </row>
    <row r="4" spans="1:15" s="6" customFormat="1" x14ac:dyDescent="0.2">
      <c r="A4" s="9" t="s">
        <v>4</v>
      </c>
      <c r="B4" s="9"/>
      <c r="C4" s="9"/>
      <c r="D4" s="9"/>
      <c r="E4" s="10" t="s">
        <v>25</v>
      </c>
      <c r="F4" s="10"/>
      <c r="G4" s="10"/>
      <c r="H4" s="10"/>
      <c r="I4" s="10" t="s">
        <v>9</v>
      </c>
      <c r="J4" s="10"/>
      <c r="K4" s="10"/>
      <c r="L4" s="10"/>
    </row>
    <row r="5" spans="1:15" x14ac:dyDescent="0.2">
      <c r="A5" t="s">
        <v>5</v>
      </c>
      <c r="B5" t="s">
        <v>7</v>
      </c>
      <c r="C5" t="s">
        <v>6</v>
      </c>
      <c r="D5" t="s">
        <v>8</v>
      </c>
      <c r="E5" t="s">
        <v>5</v>
      </c>
      <c r="F5" t="s">
        <v>7</v>
      </c>
      <c r="G5" t="s">
        <v>6</v>
      </c>
      <c r="H5" t="s">
        <v>8</v>
      </c>
      <c r="I5" t="s">
        <v>5</v>
      </c>
      <c r="J5" t="s">
        <v>7</v>
      </c>
      <c r="K5" t="s">
        <v>6</v>
      </c>
      <c r="L5" t="s">
        <v>8</v>
      </c>
    </row>
    <row r="6" spans="1:15" x14ac:dyDescent="0.2">
      <c r="A6">
        <v>3024</v>
      </c>
      <c r="B6">
        <v>410</v>
      </c>
      <c r="C6" s="2">
        <f>44524.8+400000</f>
        <v>444524.79999999999</v>
      </c>
      <c r="D6" s="2">
        <f>C6/A6</f>
        <v>146.99894179894179</v>
      </c>
      <c r="E6">
        <v>3024</v>
      </c>
      <c r="F6">
        <v>550</v>
      </c>
      <c r="G6" s="2">
        <f>C6+0.3*C6</f>
        <v>577882.24</v>
      </c>
      <c r="H6" s="2">
        <f>G6/E6</f>
        <v>191.09862433862435</v>
      </c>
      <c r="I6">
        <v>25852</v>
      </c>
      <c r="J6">
        <v>580</v>
      </c>
      <c r="K6">
        <f>H6*I6*0.9</f>
        <v>4446253.4727619058</v>
      </c>
      <c r="L6">
        <f>K6/I6</f>
        <v>171.98876190476193</v>
      </c>
    </row>
    <row r="7" spans="1:15" x14ac:dyDescent="0.2">
      <c r="O7" s="4"/>
    </row>
    <row r="9" spans="1:15" x14ac:dyDescent="0.2">
      <c r="A9" s="10" t="s">
        <v>30</v>
      </c>
      <c r="B9" s="10"/>
      <c r="C9" s="10"/>
      <c r="K9" s="2"/>
      <c r="L9" s="2"/>
    </row>
    <row r="10" spans="1:15" x14ac:dyDescent="0.2">
      <c r="A10" s="10" t="s">
        <v>5</v>
      </c>
      <c r="B10" s="10" t="s">
        <v>10</v>
      </c>
      <c r="C10" s="10" t="s">
        <v>6</v>
      </c>
      <c r="O10" s="2"/>
    </row>
    <row r="11" spans="1:15" x14ac:dyDescent="0.2">
      <c r="A11">
        <v>1</v>
      </c>
      <c r="B11">
        <v>3125</v>
      </c>
      <c r="C11">
        <v>20000</v>
      </c>
    </row>
    <row r="12" spans="1:15" x14ac:dyDescent="0.2">
      <c r="A12">
        <v>4</v>
      </c>
      <c r="B12">
        <v>3125</v>
      </c>
      <c r="C12">
        <f>C11*A12</f>
        <v>80000</v>
      </c>
    </row>
    <row r="16" spans="1:15" x14ac:dyDescent="0.2">
      <c r="A16" s="6" t="s">
        <v>26</v>
      </c>
    </row>
    <row r="17" spans="1:12" x14ac:dyDescent="0.2">
      <c r="A17" s="8" t="s">
        <v>19</v>
      </c>
      <c r="B17" s="7"/>
    </row>
    <row r="18" spans="1:12" x14ac:dyDescent="0.2">
      <c r="A18" s="6"/>
      <c r="B18" s="9" t="s">
        <v>28</v>
      </c>
      <c r="C18" s="10" t="s">
        <v>27</v>
      </c>
      <c r="D18" s="6"/>
      <c r="E18" s="6"/>
      <c r="L18" s="2"/>
    </row>
    <row r="19" spans="1:12" x14ac:dyDescent="0.2">
      <c r="A19" t="s">
        <v>12</v>
      </c>
      <c r="B19">
        <v>80000</v>
      </c>
      <c r="C19">
        <f>15*B19</f>
        <v>1200000</v>
      </c>
    </row>
    <row r="20" spans="1:12" x14ac:dyDescent="0.2">
      <c r="A20" t="s">
        <v>13</v>
      </c>
      <c r="B20">
        <v>10000</v>
      </c>
      <c r="C20">
        <f t="shared" ref="C20:C24" si="0">15*B20</f>
        <v>150000</v>
      </c>
    </row>
    <row r="21" spans="1:12" x14ac:dyDescent="0.2">
      <c r="A21" t="s">
        <v>14</v>
      </c>
      <c r="B21">
        <v>15000</v>
      </c>
      <c r="C21">
        <f t="shared" si="0"/>
        <v>225000</v>
      </c>
    </row>
    <row r="22" spans="1:12" x14ac:dyDescent="0.2">
      <c r="A22" t="s">
        <v>15</v>
      </c>
      <c r="B22">
        <v>950000</v>
      </c>
      <c r="C22">
        <f t="shared" si="0"/>
        <v>14250000</v>
      </c>
    </row>
    <row r="23" spans="1:12" x14ac:dyDescent="0.2">
      <c r="A23" t="s">
        <v>16</v>
      </c>
      <c r="B23">
        <v>75000</v>
      </c>
      <c r="C23">
        <f t="shared" si="0"/>
        <v>1125000</v>
      </c>
    </row>
    <row r="24" spans="1:12" x14ac:dyDescent="0.2">
      <c r="A24" t="s">
        <v>17</v>
      </c>
      <c r="B24">
        <v>80000</v>
      </c>
      <c r="C24">
        <f t="shared" si="0"/>
        <v>1200000</v>
      </c>
    </row>
    <row r="27" spans="1:12" x14ac:dyDescent="0.2">
      <c r="A27" s="8" t="s">
        <v>18</v>
      </c>
      <c r="B27" s="7"/>
    </row>
    <row r="28" spans="1:12" s="6" customFormat="1" x14ac:dyDescent="0.2">
      <c r="B28" s="9" t="s">
        <v>29</v>
      </c>
      <c r="C28" s="10" t="s">
        <v>27</v>
      </c>
    </row>
    <row r="29" spans="1:12" x14ac:dyDescent="0.2">
      <c r="A29" t="s">
        <v>20</v>
      </c>
      <c r="B29">
        <v>6700</v>
      </c>
      <c r="C29">
        <f>15*B29</f>
        <v>100500</v>
      </c>
    </row>
    <row r="30" spans="1:12" x14ac:dyDescent="0.2">
      <c r="A30" t="s">
        <v>21</v>
      </c>
      <c r="B30">
        <v>1400</v>
      </c>
      <c r="C30">
        <f t="shared" ref="C30:C33" si="1">15*B30</f>
        <v>21000</v>
      </c>
    </row>
    <row r="31" spans="1:12" x14ac:dyDescent="0.2">
      <c r="A31" t="s">
        <v>22</v>
      </c>
      <c r="B31">
        <v>3000</v>
      </c>
      <c r="C31">
        <f t="shared" si="1"/>
        <v>45000</v>
      </c>
    </row>
    <row r="32" spans="1:12" x14ac:dyDescent="0.2">
      <c r="A32" t="s">
        <v>23</v>
      </c>
      <c r="B32">
        <v>2000</v>
      </c>
      <c r="C32">
        <f t="shared" si="1"/>
        <v>30000</v>
      </c>
    </row>
    <row r="33" spans="1:3" x14ac:dyDescent="0.2">
      <c r="A33" t="s">
        <v>24</v>
      </c>
      <c r="B33">
        <v>4000</v>
      </c>
      <c r="C33">
        <f t="shared" si="1"/>
        <v>60000</v>
      </c>
    </row>
    <row r="38" spans="1:3" s="6" customFormat="1" x14ac:dyDescent="0.2"/>
  </sheetData>
  <hyperlinks>
    <hyperlink ref="A2" r:id="rId1" xr:uid="{E885F4E4-E115-DA46-9A3D-62FF44B671D8}"/>
    <hyperlink ref="A1" r:id="rId2" xr:uid="{03062EDB-5D2E-F443-8253-A459E3A9AF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4122-461C-E44A-B906-A7BAE47E12C6}">
  <dimension ref="A1:D29"/>
  <sheetViews>
    <sheetView topLeftCell="A24" zoomScale="125" zoomScaleNormal="190" workbookViewId="0">
      <selection activeCell="B6" sqref="B6"/>
    </sheetView>
  </sheetViews>
  <sheetFormatPr baseColWidth="10" defaultRowHeight="16" x14ac:dyDescent="0.2"/>
  <cols>
    <col min="1" max="1" width="40.5" bestFit="1" customWidth="1"/>
    <col min="2" max="2" width="18.1640625" bestFit="1" customWidth="1"/>
    <col min="3" max="3" width="15.6640625" bestFit="1" customWidth="1"/>
    <col min="6" max="6" width="28.1640625" bestFit="1" customWidth="1"/>
  </cols>
  <sheetData>
    <row r="1" spans="1:4" x14ac:dyDescent="0.2">
      <c r="A1" s="10" t="s">
        <v>34</v>
      </c>
      <c r="B1" s="7"/>
    </row>
    <row r="2" spans="1:4" x14ac:dyDescent="0.2">
      <c r="A2" t="s">
        <v>5</v>
      </c>
      <c r="B2" t="s">
        <v>7</v>
      </c>
      <c r="C2" t="s">
        <v>6</v>
      </c>
      <c r="D2" t="s">
        <v>8</v>
      </c>
    </row>
    <row r="3" spans="1:4" x14ac:dyDescent="0.2">
      <c r="A3">
        <v>228781</v>
      </c>
      <c r="B3">
        <v>580</v>
      </c>
      <c r="C3">
        <f>A3*Gibraltar!H6*0.9</f>
        <v>39347760.937333338</v>
      </c>
      <c r="D3" s="2">
        <f>C3/A3</f>
        <v>171.98876190476193</v>
      </c>
    </row>
    <row r="4" spans="1:4" x14ac:dyDescent="0.2">
      <c r="A4" s="10" t="s">
        <v>35</v>
      </c>
    </row>
    <row r="5" spans="1:4" x14ac:dyDescent="0.2">
      <c r="A5" t="s">
        <v>5</v>
      </c>
      <c r="B5" t="s">
        <v>10</v>
      </c>
      <c r="C5" t="s">
        <v>6</v>
      </c>
    </row>
    <row r="6" spans="1:4" x14ac:dyDescent="0.2">
      <c r="A6">
        <v>1</v>
      </c>
      <c r="B6">
        <v>6874</v>
      </c>
      <c r="C6">
        <f>20000*2.5</f>
        <v>50000</v>
      </c>
    </row>
    <row r="7" spans="1:4" x14ac:dyDescent="0.2">
      <c r="A7">
        <v>17</v>
      </c>
      <c r="B7">
        <v>6874</v>
      </c>
      <c r="C7">
        <f>C6*A7</f>
        <v>850000</v>
      </c>
    </row>
    <row r="9" spans="1:4" x14ac:dyDescent="0.2">
      <c r="A9" s="10" t="s">
        <v>33</v>
      </c>
      <c r="B9" s="10" t="s">
        <v>32</v>
      </c>
    </row>
    <row r="10" spans="1:4" x14ac:dyDescent="0.2">
      <c r="A10">
        <f>5000+9730+1150+3465+914+990+1485+495+495+247.5+400+500+600+500+3285+3600+5000+600</f>
        <v>38456.5</v>
      </c>
      <c r="B10">
        <v>154.5</v>
      </c>
    </row>
    <row r="13" spans="1:4" x14ac:dyDescent="0.2">
      <c r="A13" s="6" t="s">
        <v>26</v>
      </c>
      <c r="C13" s="7"/>
    </row>
    <row r="14" spans="1:4" x14ac:dyDescent="0.2">
      <c r="A14" s="8" t="s">
        <v>19</v>
      </c>
      <c r="B14" s="7"/>
    </row>
    <row r="15" spans="1:4" x14ac:dyDescent="0.2">
      <c r="A15" s="6"/>
      <c r="B15" s="9" t="s">
        <v>28</v>
      </c>
      <c r="C15" s="10" t="s">
        <v>31</v>
      </c>
    </row>
    <row r="16" spans="1:4" x14ac:dyDescent="0.2">
      <c r="A16" t="s">
        <v>12</v>
      </c>
      <c r="B16">
        <v>80000</v>
      </c>
      <c r="C16">
        <f>150*B16</f>
        <v>12000000</v>
      </c>
    </row>
    <row r="17" spans="1:3" x14ac:dyDescent="0.2">
      <c r="A17" t="s">
        <v>13</v>
      </c>
      <c r="B17">
        <v>10000</v>
      </c>
      <c r="C17">
        <f t="shared" ref="C17:C21" si="0">150*B17</f>
        <v>1500000</v>
      </c>
    </row>
    <row r="18" spans="1:3" x14ac:dyDescent="0.2">
      <c r="A18" t="s">
        <v>14</v>
      </c>
      <c r="B18">
        <v>15000</v>
      </c>
      <c r="C18">
        <f t="shared" si="0"/>
        <v>2250000</v>
      </c>
    </row>
    <row r="19" spans="1:3" x14ac:dyDescent="0.2">
      <c r="A19" t="s">
        <v>15</v>
      </c>
      <c r="B19">
        <v>950000</v>
      </c>
      <c r="C19">
        <f t="shared" si="0"/>
        <v>142500000</v>
      </c>
    </row>
    <row r="20" spans="1:3" x14ac:dyDescent="0.2">
      <c r="A20" t="s">
        <v>16</v>
      </c>
      <c r="B20">
        <v>75000</v>
      </c>
      <c r="C20">
        <f t="shared" si="0"/>
        <v>11250000</v>
      </c>
    </row>
    <row r="21" spans="1:3" x14ac:dyDescent="0.2">
      <c r="A21" t="s">
        <v>17</v>
      </c>
      <c r="B21">
        <v>80000</v>
      </c>
      <c r="C21">
        <f t="shared" si="0"/>
        <v>12000000</v>
      </c>
    </row>
    <row r="24" spans="1:3" x14ac:dyDescent="0.2">
      <c r="A24" s="8" t="s">
        <v>18</v>
      </c>
      <c r="B24" s="7"/>
    </row>
    <row r="25" spans="1:3" x14ac:dyDescent="0.2">
      <c r="A25" s="6"/>
      <c r="B25" s="9" t="s">
        <v>29</v>
      </c>
      <c r="C25" s="10" t="s">
        <v>31</v>
      </c>
    </row>
    <row r="26" spans="1:3" x14ac:dyDescent="0.2">
      <c r="A26" t="s">
        <v>20</v>
      </c>
      <c r="B26">
        <v>6700</v>
      </c>
      <c r="C26">
        <f>150*B26</f>
        <v>1005000</v>
      </c>
    </row>
    <row r="27" spans="1:3" x14ac:dyDescent="0.2">
      <c r="A27" t="s">
        <v>21</v>
      </c>
      <c r="B27">
        <v>1400</v>
      </c>
      <c r="C27">
        <f>150*B27</f>
        <v>210000</v>
      </c>
    </row>
    <row r="28" spans="1:3" x14ac:dyDescent="0.2">
      <c r="A28" t="s">
        <v>23</v>
      </c>
      <c r="B28">
        <v>2000</v>
      </c>
      <c r="C28">
        <f>150*B28</f>
        <v>300000</v>
      </c>
    </row>
    <row r="29" spans="1:3" x14ac:dyDescent="0.2">
      <c r="A29" t="s">
        <v>24</v>
      </c>
      <c r="B29">
        <v>4000</v>
      </c>
      <c r="C29">
        <f>150*B29</f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Gibraltar</vt:lpstr>
      <vt:lpstr>Madrid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Pingfan</dc:creator>
  <cp:lastModifiedBy>TENG Pingfan</cp:lastModifiedBy>
  <dcterms:created xsi:type="dcterms:W3CDTF">2024-03-27T21:00:39Z</dcterms:created>
  <dcterms:modified xsi:type="dcterms:W3CDTF">2024-04-01T00:28:21Z</dcterms:modified>
</cp:coreProperties>
</file>