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r_lee/Desktop/Solar_ASSESSMENT/"/>
    </mc:Choice>
  </mc:AlternateContent>
  <xr:revisionPtr revIDLastSave="0" documentId="13_ncr:1_{948FF6EB-AAF2-CB4C-8BA8-C41CF20DEA7F}" xr6:coauthVersionLast="45" xr6:coauthVersionMax="45" xr10:uidLastSave="{00000000-0000-0000-0000-000000000000}"/>
  <bookViews>
    <workbookView xWindow="1580" yWindow="1960" windowWidth="26840" windowHeight="15000" xr2:uid="{C591F42F-A419-E947-8EC8-C8B6D3076C72}"/>
  </bookViews>
  <sheets>
    <sheet name="Read me first" sheetId="4" r:id="rId1"/>
    <sheet name="Raw Data &amp; Calcs" sheetId="1" r:id="rId2"/>
    <sheet name="Chart- Cumu. Installed Capacity" sheetId="2" r:id="rId3"/>
    <sheet name="Chart- Generated Electricity" sheetId="3" r:id="rId4"/>
  </sheets>
  <externalReferences>
    <externalReference r:id="rId5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58" i="1" l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O12" i="1"/>
  <c r="N12" i="1"/>
  <c r="M12" i="1"/>
  <c r="K12" i="1"/>
  <c r="G12" i="1"/>
  <c r="F12" i="1"/>
  <c r="E12" i="1"/>
  <c r="C12" i="1"/>
  <c r="O10" i="1"/>
  <c r="N10" i="1"/>
  <c r="M10" i="1"/>
  <c r="L10" i="1"/>
  <c r="L12" i="1" s="1"/>
  <c r="K10" i="1"/>
  <c r="J10" i="1"/>
  <c r="J12" i="1" s="1"/>
  <c r="I10" i="1"/>
  <c r="I12" i="1" s="1"/>
  <c r="H10" i="1"/>
  <c r="H12" i="1" s="1"/>
  <c r="G10" i="1"/>
  <c r="F10" i="1"/>
  <c r="E10" i="1"/>
  <c r="D10" i="1"/>
  <c r="D12" i="1" s="1"/>
  <c r="C10" i="1"/>
  <c r="B10" i="1"/>
  <c r="B12" i="1" s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</calcChain>
</file>

<file path=xl/sharedStrings.xml><?xml version="1.0" encoding="utf-8"?>
<sst xmlns="http://schemas.openxmlformats.org/spreadsheetml/2006/main" count="122" uniqueCount="59">
  <si>
    <t>CUMULATIVE INSTALLED CAPACITY (MW) 
[note 1]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</si>
  <si>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</si>
  <si>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</si>
  <si>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</si>
  <si>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</si>
  <si>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</si>
  <si>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</si>
  <si>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</si>
  <si>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</si>
  <si>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</si>
  <si>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</si>
  <si>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</si>
  <si>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</si>
  <si>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</si>
  <si>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</si>
  <si>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Onshore wind</t>
  </si>
  <si>
    <t>Offshore wind - seabed</t>
  </si>
  <si>
    <t>Offshore wind - floating</t>
  </si>
  <si>
    <t>Wind Energy</t>
  </si>
  <si>
    <t>Solar Energy</t>
  </si>
  <si>
    <t>Small scale hydro</t>
  </si>
  <si>
    <t>Large scale hydro</t>
  </si>
  <si>
    <t>Hydro</t>
  </si>
  <si>
    <t>Shoreline wave / tidal</t>
  </si>
  <si>
    <t>Marine Energy</t>
  </si>
  <si>
    <t xml:space="preserve">Landfill gas </t>
  </si>
  <si>
    <t>Sewage sludge digestion</t>
  </si>
  <si>
    <t>Energy from waste</t>
  </si>
  <si>
    <t>Anaerobic digestion</t>
  </si>
  <si>
    <t>Plant biomass [note 4]</t>
  </si>
  <si>
    <t>Liquid biofuels</t>
  </si>
  <si>
    <t>[x]</t>
  </si>
  <si>
    <t>Animal Biomass (non-AD) [note 3]</t>
  </si>
  <si>
    <t>Biomass &amp; Biofuels</t>
  </si>
  <si>
    <t>Biomass/Biofuel Energy</t>
  </si>
  <si>
    <t>TOTAL</t>
  </si>
  <si>
    <t>Co-firing [note 5]</t>
  </si>
  <si>
    <t>year</t>
  </si>
  <si>
    <t>Cumulative installed capacity (MW)</t>
  </si>
  <si>
    <t>ELECTRICITY GENERATED (GWh) 
[note 6]</t>
  </si>
  <si>
    <t>Onshore wind [note 7]</t>
  </si>
  <si>
    <t>Offshore wind [note 7] [note 8]</t>
  </si>
  <si>
    <t>Shoreline wave / tidal [note 7]</t>
  </si>
  <si>
    <t>Hydro [note 7]</t>
  </si>
  <si>
    <t>Plant biomass [note 4] [note 7]</t>
  </si>
  <si>
    <t>Animal Biomass (non-AD) [note 3] [note 7]</t>
  </si>
  <si>
    <t>Landfill gas [note 7]</t>
  </si>
  <si>
    <t>Sewage sludge digestion [note 7]</t>
  </si>
  <si>
    <t>Energy from waste [note 9]</t>
  </si>
  <si>
    <t>Co-firing with fossil fuels</t>
  </si>
  <si>
    <t>Cumulative installed capacity (GWh)</t>
  </si>
  <si>
    <t>Total Wind Energy</t>
  </si>
  <si>
    <t>PV Solar Energy</t>
  </si>
  <si>
    <t>Total Marine Energy</t>
  </si>
  <si>
    <t>Total Biomass/Biofuel Energy</t>
  </si>
  <si>
    <t>This file contains the data analysis of the UK Renewable Energy Sector ( RES ) Market</t>
  </si>
  <si>
    <t>Only considering 4 major sectors (Wind, Marine, PV Solar and Biomass/BioFuel)</t>
  </si>
  <si>
    <t>Combined the small seperated sectors of data into one of the major energy sector.</t>
  </si>
  <si>
    <t>Brief: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</si>
</sst>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>
      <alignment vertical="center"/>
    </xf>
    <xf numFmtId="164" fontId="6" fillId="0" borderId="0" applyFont="0" applyFill="0" applyBorder="0" applyAlignment="0" applyProtection="0"/>
  </cellStyleXfs>
  <cellXfs count="63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4" fillId="0" borderId="2" xfId="2" applyFont="1" applyBorder="1" applyAlignment="1">
      <alignment horizontal="center" vertical="center"/>
    </xf>
    <xf numFmtId="37" fontId="4" fillId="0" borderId="3" xfId="2" applyNumberFormat="1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37" fontId="5" fillId="2" borderId="0" xfId="1" applyNumberFormat="1" applyFont="1" applyFill="1" applyAlignment="1">
      <alignment vertical="center"/>
    </xf>
    <xf numFmtId="37" fontId="5" fillId="2" borderId="0" xfId="3" applyNumberFormat="1" applyFont="1" applyFill="1" applyAlignment="1">
      <alignment vertical="center"/>
    </xf>
    <xf numFmtId="37" fontId="0" fillId="0" borderId="0" xfId="0" applyNumberFormat="1"/>
    <xf numFmtId="37" fontId="5" fillId="0" borderId="0" xfId="1" applyNumberFormat="1" applyFont="1" applyFill="1" applyAlignment="1">
      <alignment vertical="center"/>
    </xf>
    <xf numFmtId="37" fontId="5" fillId="0" borderId="0" xfId="3" applyNumberFormat="1" applyFont="1" applyFill="1" applyAlignment="1">
      <alignment vertical="center"/>
    </xf>
    <xf numFmtId="37" fontId="5" fillId="2" borderId="3" xfId="3" applyNumberFormat="1" applyFont="1" applyFill="1" applyBorder="1" applyAlignment="1">
      <alignment vertical="center"/>
    </xf>
    <xf numFmtId="0" fontId="7" fillId="2" borderId="5" xfId="0" applyFont="1" applyFill="1" applyBorder="1" applyAlignment="1">
      <alignment horizontal="left" vertical="center"/>
    </xf>
    <xf numFmtId="37" fontId="7" fillId="2" borderId="6" xfId="1" applyNumberFormat="1" applyFont="1" applyFill="1" applyBorder="1" applyAlignment="1">
      <alignment vertical="center"/>
    </xf>
    <xf numFmtId="37" fontId="7" fillId="2" borderId="0" xfId="3" applyNumberFormat="1" applyFont="1" applyFill="1" applyBorder="1" applyAlignment="1">
      <alignment vertical="center"/>
    </xf>
    <xf numFmtId="37" fontId="7" fillId="2" borderId="6" xfId="3" applyNumberFormat="1" applyFont="1" applyFill="1" applyBorder="1" applyAlignment="1">
      <alignment vertical="center"/>
    </xf>
    <xf numFmtId="0" fontId="5" fillId="2" borderId="0" xfId="0" applyFont="1" applyFill="1" applyAlignment="1">
      <alignment horizontal="left" vertical="center"/>
    </xf>
    <xf numFmtId="37" fontId="5" fillId="2" borderId="3" xfId="1" applyNumberFormat="1" applyFont="1" applyFill="1" applyBorder="1" applyAlignment="1">
      <alignment vertical="center"/>
    </xf>
    <xf numFmtId="37" fontId="5" fillId="2" borderId="7" xfId="1" applyNumberFormat="1" applyFont="1" applyFill="1" applyBorder="1" applyAlignment="1">
      <alignment vertical="center"/>
    </xf>
    <xf numFmtId="37" fontId="4" fillId="0" borderId="2" xfId="2" applyNumberFormat="1" applyFont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37" fontId="5" fillId="2" borderId="0" xfId="3" applyNumberFormat="1" applyFont="1" applyFill="1" applyBorder="1" applyAlignment="1">
      <alignment vertical="center"/>
    </xf>
    <xf numFmtId="2" fontId="4" fillId="0" borderId="2" xfId="2" applyNumberFormat="1" applyFont="1" applyBorder="1" applyAlignment="1">
      <alignment horizontal="center" vertical="center"/>
    </xf>
    <xf numFmtId="2" fontId="4" fillId="0" borderId="3" xfId="2" applyNumberFormat="1" applyFont="1" applyBorder="1" applyAlignment="1">
      <alignment horizontal="center" vertical="center"/>
    </xf>
    <xf numFmtId="37" fontId="5" fillId="2" borderId="0" xfId="1" applyNumberFormat="1" applyFont="1" applyFill="1" applyBorder="1" applyAlignment="1">
      <alignment vertical="center"/>
    </xf>
    <xf numFmtId="37" fontId="5" fillId="2" borderId="7" xfId="3" applyNumberFormat="1" applyFont="1" applyFill="1" applyBorder="1" applyAlignment="1">
      <alignment vertical="center"/>
    </xf>
    <xf numFmtId="2" fontId="0" fillId="0" borderId="0" xfId="0" applyNumberFormat="1"/>
    <xf numFmtId="0" fontId="7" fillId="3" borderId="4" xfId="0" applyFont="1" applyFill="1" applyBorder="1" applyAlignment="1">
      <alignment horizontal="left" vertical="center"/>
    </xf>
    <xf numFmtId="0" fontId="2" fillId="3" borderId="0" xfId="0" applyFont="1" applyFill="1"/>
    <xf numFmtId="0" fontId="5" fillId="4" borderId="4" xfId="0" applyFont="1" applyFill="1" applyBorder="1" applyAlignment="1">
      <alignment horizontal="left" vertical="center"/>
    </xf>
    <xf numFmtId="37" fontId="5" fillId="4" borderId="0" xfId="1" applyNumberFormat="1" applyFont="1" applyFill="1" applyAlignment="1">
      <alignment vertical="center"/>
    </xf>
    <xf numFmtId="37" fontId="5" fillId="4" borderId="0" xfId="3" applyNumberFormat="1" applyFont="1" applyFill="1" applyAlignment="1">
      <alignment vertical="center"/>
    </xf>
    <xf numFmtId="37" fontId="0" fillId="4" borderId="0" xfId="0" applyNumberFormat="1" applyFill="1"/>
    <xf numFmtId="0" fontId="5" fillId="6" borderId="4" xfId="0" applyFont="1" applyFill="1" applyBorder="1" applyAlignment="1">
      <alignment horizontal="left" vertical="center"/>
    </xf>
    <xf numFmtId="37" fontId="5" fillId="6" borderId="0" xfId="1" applyNumberFormat="1" applyFont="1" applyFill="1" applyAlignment="1">
      <alignment vertical="center"/>
    </xf>
    <xf numFmtId="37" fontId="5" fillId="6" borderId="0" xfId="3" applyNumberFormat="1" applyFont="1" applyFill="1" applyAlignment="1">
      <alignment vertical="center"/>
    </xf>
    <xf numFmtId="37" fontId="0" fillId="6" borderId="0" xfId="0" applyNumberFormat="1" applyFill="1"/>
    <xf numFmtId="0" fontId="7" fillId="5" borderId="4" xfId="0" applyFont="1" applyFill="1" applyBorder="1" applyAlignment="1">
      <alignment horizontal="left" vertical="center"/>
    </xf>
    <xf numFmtId="37" fontId="7" fillId="5" borderId="0" xfId="1" applyNumberFormat="1" applyFont="1" applyFill="1" applyAlignment="1">
      <alignment vertical="center"/>
    </xf>
    <xf numFmtId="37" fontId="7" fillId="5" borderId="0" xfId="3" applyNumberFormat="1" applyFont="1" applyFill="1" applyAlignment="1">
      <alignment vertical="center"/>
    </xf>
    <xf numFmtId="0" fontId="5" fillId="8" borderId="4" xfId="0" applyFont="1" applyFill="1" applyBorder="1" applyAlignment="1">
      <alignment horizontal="left" vertical="center"/>
    </xf>
    <xf numFmtId="37" fontId="5" fillId="8" borderId="0" xfId="1" applyNumberFormat="1" applyFont="1" applyFill="1" applyAlignment="1">
      <alignment vertical="center"/>
    </xf>
    <xf numFmtId="37" fontId="5" fillId="8" borderId="0" xfId="3" applyNumberFormat="1" applyFont="1" applyFill="1" applyAlignment="1">
      <alignment vertical="center"/>
    </xf>
    <xf numFmtId="0" fontId="0" fillId="8" borderId="0" xfId="0" applyFill="1"/>
    <xf numFmtId="37" fontId="5" fillId="8" borderId="3" xfId="3" applyNumberFormat="1" applyFont="1" applyFill="1" applyBorder="1" applyAlignment="1">
      <alignment vertical="center"/>
    </xf>
    <xf numFmtId="37" fontId="0" fillId="8" borderId="0" xfId="0" applyNumberFormat="1" applyFill="1"/>
    <xf numFmtId="0" fontId="7" fillId="2" borderId="4" xfId="0" applyFont="1" applyFill="1" applyBorder="1" applyAlignment="1">
      <alignment horizontal="left" vertical="center"/>
    </xf>
    <xf numFmtId="0" fontId="2" fillId="0" borderId="0" xfId="0" applyFont="1"/>
    <xf numFmtId="0" fontId="7" fillId="9" borderId="4" xfId="0" applyFont="1" applyFill="1" applyBorder="1" applyAlignment="1">
      <alignment horizontal="left" vertical="center"/>
    </xf>
    <xf numFmtId="0" fontId="2" fillId="9" borderId="0" xfId="0" applyFont="1" applyFill="1"/>
    <xf numFmtId="37" fontId="7" fillId="2" borderId="0" xfId="1" applyNumberFormat="1" applyFont="1" applyFill="1" applyAlignment="1">
      <alignment vertical="center"/>
    </xf>
    <xf numFmtId="37" fontId="2" fillId="3" borderId="0" xfId="0" applyNumberFormat="1" applyFont="1" applyFill="1"/>
    <xf numFmtId="37" fontId="5" fillId="4" borderId="0" xfId="3" applyNumberFormat="1" applyFont="1" applyFill="1" applyBorder="1" applyAlignment="1">
      <alignment vertical="center"/>
    </xf>
    <xf numFmtId="37" fontId="5" fillId="8" borderId="0" xfId="3" applyNumberFormat="1" applyFont="1" applyFill="1" applyBorder="1" applyAlignment="1">
      <alignment vertical="center"/>
    </xf>
    <xf numFmtId="37" fontId="5" fillId="6" borderId="0" xfId="3" applyNumberFormat="1" applyFont="1" applyFill="1" applyBorder="1" applyAlignment="1">
      <alignment vertical="center"/>
    </xf>
    <xf numFmtId="0" fontId="0" fillId="6" borderId="0" xfId="0" applyFill="1"/>
    <xf numFmtId="0" fontId="7" fillId="7" borderId="4" xfId="0" applyFont="1" applyFill="1" applyBorder="1" applyAlignment="1">
      <alignment horizontal="left" vertical="center"/>
    </xf>
    <xf numFmtId="37" fontId="2" fillId="7" borderId="0" xfId="0" applyNumberFormat="1" applyFont="1" applyFill="1"/>
    <xf numFmtId="0" fontId="2" fillId="7" borderId="0" xfId="0" applyFont="1" applyFill="1"/>
    <xf numFmtId="37" fontId="5" fillId="8" borderId="0" xfId="1" applyNumberFormat="1" applyFont="1" applyFill="1" applyBorder="1" applyAlignment="1">
      <alignment vertical="center"/>
    </xf>
    <xf numFmtId="0" fontId="7" fillId="10" borderId="0" xfId="0" applyFont="1" applyFill="1" applyAlignment="1">
      <alignment horizontal="left" vertical="center"/>
    </xf>
    <xf numFmtId="0" fontId="2" fillId="10" borderId="0" xfId="0" applyFont="1" applyFill="1"/>
    <xf numFmtId="37" fontId="7" fillId="5" borderId="0" xfId="3" applyNumberFormat="1" applyFont="1" applyFill="1" applyBorder="1" applyAlignment="1">
      <alignment vertical="center"/>
    </xf>
  </cellXfs>
  <cellStyles count="4">
    <cellStyle name="Comma" xfId="1" builtinId="3"/>
    <cellStyle name="Comma 2" xfId="3" xr:uid="{EAFBC503-CBA3-9A48-96F6-EE133E4F7A29}"/>
    <cellStyle name="Normal" xfId="0" builtinId="0"/>
    <cellStyle name="Normal 4" xfId="2" xr:uid="{BA7BEF52-F77D-FC41-B6F5-E96AB868CA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chartsheet" Target="chartsheets/sheet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Wind Energy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[1]Sheet2!$A$28:$A$41</c:f>
              <c:strCach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strCache>
            </c:strRef>
          </c:cat>
          <c:val>
            <c:numRef>
              <c:f>[1]Sheet2!$B$28:$B$41</c:f>
              <c:numCache>
                <c:formatCode>General</c:formatCode>
                <c:ptCount val="14"/>
                <c:pt idx="0">
                  <c:v>4422</c:v>
                </c:pt>
                <c:pt idx="1">
                  <c:v>5421</c:v>
                </c:pt>
                <c:pt idx="2">
                  <c:v>6596</c:v>
                </c:pt>
                <c:pt idx="3">
                  <c:v>9030</c:v>
                </c:pt>
                <c:pt idx="4">
                  <c:v>11282</c:v>
                </c:pt>
                <c:pt idx="5">
                  <c:v>13074</c:v>
                </c:pt>
                <c:pt idx="6">
                  <c:v>14305.74</c:v>
                </c:pt>
                <c:pt idx="7">
                  <c:v>16125.929999999998</c:v>
                </c:pt>
                <c:pt idx="8">
                  <c:v>19585</c:v>
                </c:pt>
                <c:pt idx="9">
                  <c:v>21605.35</c:v>
                </c:pt>
                <c:pt idx="10">
                  <c:v>23886.629999999997</c:v>
                </c:pt>
                <c:pt idx="11">
                  <c:v>24457.919999999998</c:v>
                </c:pt>
                <c:pt idx="12">
                  <c:v>25747.895</c:v>
                </c:pt>
                <c:pt idx="13">
                  <c:v>28762.325000000001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21-634B-8438-081C47FE39CE}"/>
            </c:ext>
          </c:extLst>
        </c:ser>
        <c:ser>
          <c:idx val="1"/>
          <c:order val="1"/>
          <c:tx>
            <c:v>Marine Energy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[1]Sheet2!$A$28:$A$41</c:f>
              <c:strCach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strCache>
            </c:strRef>
          </c:cat>
          <c:val>
            <c:numRef>
              <c:f>[1]Sheet2!$C$28:$C$41</c:f>
              <c:numCache>
                <c:formatCode>#,##0_);\(#,##0\)</c:formatCode>
                <c:ptCount val="14"/>
                <c:pt idx="0">
                  <c:v>1641</c:v>
                </c:pt>
                <c:pt idx="1">
                  <c:v>1651</c:v>
                </c:pt>
                <c:pt idx="2">
                  <c:v>1683</c:v>
                </c:pt>
                <c:pt idx="3">
                  <c:v>1702</c:v>
                </c:pt>
                <c:pt idx="4">
                  <c:v>1717</c:v>
                </c:pt>
                <c:pt idx="5">
                  <c:v>1739</c:v>
                </c:pt>
                <c:pt idx="6">
                  <c:v>1785.92</c:v>
                </c:pt>
                <c:pt idx="7">
                  <c:v>1846.01</c:v>
                </c:pt>
                <c:pt idx="8">
                  <c:v>1888.0400000000002</c:v>
                </c:pt>
                <c:pt idx="9">
                  <c:v>1897.5900000000001</c:v>
                </c:pt>
                <c:pt idx="10">
                  <c:v>1902.3200000000002</c:v>
                </c:pt>
                <c:pt idx="11">
                  <c:v>1907.57</c:v>
                </c:pt>
                <c:pt idx="12">
                  <c:v>1912.73</c:v>
                </c:pt>
                <c:pt idx="13">
                  <c:v>1912.74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21-634B-8438-081C47FE39CE}"/>
            </c:ext>
          </c:extLst>
        </c:ser>
        <c:ser>
          <c:idx val="2"/>
          <c:order val="2"/>
          <c:tx>
            <c:v>PV Solar Energy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[1]Sheet2!$A$28:$A$41</c:f>
              <c:strCach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strCache>
            </c:strRef>
          </c:cat>
          <c:val>
            <c:numRef>
              <c:f>[1]Sheet2!$D$28:$D$41</c:f>
              <c:numCache>
                <c:formatCode>#,##0_);\(#,##0\)</c:formatCode>
                <c:ptCount val="14"/>
                <c:pt idx="0">
                  <c:v>27</c:v>
                </c:pt>
                <c:pt idx="1">
                  <c:v>95</c:v>
                </c:pt>
                <c:pt idx="2">
                  <c:v>1000</c:v>
                </c:pt>
                <c:pt idx="3">
                  <c:v>1754</c:v>
                </c:pt>
                <c:pt idx="4">
                  <c:v>2937</c:v>
                </c:pt>
                <c:pt idx="5">
                  <c:v>5528</c:v>
                </c:pt>
                <c:pt idx="6">
                  <c:v>9601.2199999999993</c:v>
                </c:pt>
                <c:pt idx="7">
                  <c:v>11914.020000000002</c:v>
                </c:pt>
                <c:pt idx="8">
                  <c:v>12760.02</c:v>
                </c:pt>
                <c:pt idx="9">
                  <c:v>13059.07</c:v>
                </c:pt>
                <c:pt idx="10">
                  <c:v>13344.84</c:v>
                </c:pt>
                <c:pt idx="11">
                  <c:v>13552.7</c:v>
                </c:pt>
                <c:pt idx="12">
                  <c:v>13914.349999999999</c:v>
                </c:pt>
                <c:pt idx="13">
                  <c:v>14650.99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21-634B-8438-081C47FE39CE}"/>
            </c:ext>
          </c:extLst>
        </c:ser>
        <c:ser>
          <c:idx val="3"/>
          <c:order val="3"/>
          <c:tx>
            <c:v>Biomass/Biofuel Energy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[1]Sheet2!$A$28:$A$41</c:f>
              <c:strCach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strCache>
            </c:strRef>
          </c:cat>
          <c:val>
            <c:numRef>
              <c:f>[1]Sheet2!$E$28:$E$41</c:f>
              <c:numCache>
                <c:formatCode>General</c:formatCode>
                <c:ptCount val="14"/>
                <c:pt idx="0">
                  <c:v>396</c:v>
                </c:pt>
                <c:pt idx="1">
                  <c:v>432</c:v>
                </c:pt>
                <c:pt idx="2">
                  <c:v>1275</c:v>
                </c:pt>
                <c:pt idx="3">
                  <c:v>1277</c:v>
                </c:pt>
                <c:pt idx="4">
                  <c:v>2066</c:v>
                </c:pt>
                <c:pt idx="5">
                  <c:v>2369</c:v>
                </c:pt>
                <c:pt idx="6">
                  <c:v>2714.5899999999997</c:v>
                </c:pt>
                <c:pt idx="7">
                  <c:v>2962.8700000000008</c:v>
                </c:pt>
                <c:pt idx="8">
                  <c:v>3149.5100000000007</c:v>
                </c:pt>
                <c:pt idx="9">
                  <c:v>4638.0299999999988</c:v>
                </c:pt>
                <c:pt idx="10">
                  <c:v>4731.1000000000004</c:v>
                </c:pt>
                <c:pt idx="11">
                  <c:v>4739.49</c:v>
                </c:pt>
                <c:pt idx="12">
                  <c:v>4738.63</c:v>
                </c:pt>
                <c:pt idx="13">
                  <c:v>4750.5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21-634B-8438-081C47FE3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11472159"/>
        <c:axId val="92048927"/>
      </c:barChart>
      <c:catAx>
        <c:axId val="111472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2048927"/>
        <c:crosses val="autoZero"/>
        <c:auto val="1"/>
        <c:lblAlgn val="ctr"/>
        <c:lblOffset val="100"/>
        <c:noMultiLvlLbl val="0"/>
      </c:catAx>
      <c:valAx>
        <c:axId val="9204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/>
                  <a:t>Cumulative Installed Capacity</a:t>
                </a:r>
                <a:r>
                  <a:rPr lang="en-GB" sz="1800" baseline="0"/>
                  <a:t> (MW)</a:t>
                </a:r>
                <a:endParaRPr lang="en-GB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1147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Wind Energy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[1]Sheet2!$A$74:$A$87</c:f>
              <c:strCach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strCache>
            </c:strRef>
          </c:cat>
          <c:val>
            <c:numRef>
              <c:f>[1]Sheet2!$B$74:$B$87</c:f>
              <c:numCache>
                <c:formatCode>General</c:formatCode>
                <c:ptCount val="14"/>
                <c:pt idx="0">
                  <c:v>9281</c:v>
                </c:pt>
                <c:pt idx="1">
                  <c:v>10285.64</c:v>
                </c:pt>
                <c:pt idx="2">
                  <c:v>15962.980000000001</c:v>
                </c:pt>
                <c:pt idx="3">
                  <c:v>19847.12</c:v>
                </c:pt>
                <c:pt idx="4">
                  <c:v>28397.16</c:v>
                </c:pt>
                <c:pt idx="5">
                  <c:v>31959.239999999998</c:v>
                </c:pt>
                <c:pt idx="6">
                  <c:v>40274.729999999996</c:v>
                </c:pt>
                <c:pt idx="7">
                  <c:v>37159.42</c:v>
                </c:pt>
                <c:pt idx="8">
                  <c:v>49641.149999999994</c:v>
                </c:pt>
                <c:pt idx="9">
                  <c:v>56907.61</c:v>
                </c:pt>
                <c:pt idx="10">
                  <c:v>63834.89</c:v>
                </c:pt>
                <c:pt idx="11">
                  <c:v>75379.88</c:v>
                </c:pt>
                <c:pt idx="12">
                  <c:v>64663.11</c:v>
                </c:pt>
                <c:pt idx="13">
                  <c:v>80257.25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A-E342-9A7E-37AF81C19BB8}"/>
            </c:ext>
          </c:extLst>
        </c:ser>
        <c:ser>
          <c:idx val="1"/>
          <c:order val="1"/>
          <c:tx>
            <c:v>Marine Energy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[1]Sheet2!$A$74:$A$87</c:f>
              <c:strCach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strCache>
            </c:strRef>
          </c:cat>
          <c:val>
            <c:numRef>
              <c:f>[1]Sheet2!$C$74:$C$87</c:f>
              <c:numCache>
                <c:formatCode>General</c:formatCode>
                <c:ptCount val="14"/>
                <c:pt idx="0">
                  <c:v>5229</c:v>
                </c:pt>
                <c:pt idx="1">
                  <c:v>3593.2599999999998</c:v>
                </c:pt>
                <c:pt idx="2">
                  <c:v>5692.6799999999994</c:v>
                </c:pt>
                <c:pt idx="3">
                  <c:v>5313.85</c:v>
                </c:pt>
                <c:pt idx="4">
                  <c:v>4706.2400000000007</c:v>
                </c:pt>
                <c:pt idx="5">
                  <c:v>5890.02</c:v>
                </c:pt>
                <c:pt idx="6">
                  <c:v>6299.2699999999995</c:v>
                </c:pt>
                <c:pt idx="7">
                  <c:v>5370.4000000000005</c:v>
                </c:pt>
                <c:pt idx="8">
                  <c:v>5886.05</c:v>
                </c:pt>
                <c:pt idx="9">
                  <c:v>5452.58</c:v>
                </c:pt>
                <c:pt idx="10">
                  <c:v>5946.8799999999992</c:v>
                </c:pt>
                <c:pt idx="11">
                  <c:v>6880.0999999999995</c:v>
                </c:pt>
                <c:pt idx="12">
                  <c:v>5403.74</c:v>
                </c:pt>
                <c:pt idx="13">
                  <c:v>5651.33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EA-E342-9A7E-37AF81C19BB8}"/>
            </c:ext>
          </c:extLst>
        </c:ser>
        <c:ser>
          <c:idx val="2"/>
          <c:order val="2"/>
          <c:tx>
            <c:v>PV Solar Energy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[1]Sheet2!$A$74:$A$87</c:f>
              <c:strCach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strCache>
            </c:strRef>
          </c:cat>
          <c:val>
            <c:numRef>
              <c:f>[1]Sheet2!$D$74:$D$87</c:f>
              <c:numCache>
                <c:formatCode>#,##0_);\(#,##0\)</c:formatCode>
                <c:ptCount val="14"/>
                <c:pt idx="0">
                  <c:v>20</c:v>
                </c:pt>
                <c:pt idx="1">
                  <c:v>40.28</c:v>
                </c:pt>
                <c:pt idx="2">
                  <c:v>243.66000000000003</c:v>
                </c:pt>
                <c:pt idx="3">
                  <c:v>1353.76</c:v>
                </c:pt>
                <c:pt idx="4">
                  <c:v>2010.2600000000002</c:v>
                </c:pt>
                <c:pt idx="5">
                  <c:v>4054.07</c:v>
                </c:pt>
                <c:pt idx="6">
                  <c:v>7532.8600000000006</c:v>
                </c:pt>
                <c:pt idx="7">
                  <c:v>10395.129999999999</c:v>
                </c:pt>
                <c:pt idx="8">
                  <c:v>11457.240000000002</c:v>
                </c:pt>
                <c:pt idx="9">
                  <c:v>12668.4</c:v>
                </c:pt>
                <c:pt idx="10">
                  <c:v>12418.050000000001</c:v>
                </c:pt>
                <c:pt idx="11">
                  <c:v>12503.96</c:v>
                </c:pt>
                <c:pt idx="12">
                  <c:v>12075.499999999998</c:v>
                </c:pt>
                <c:pt idx="13">
                  <c:v>13282.900000000001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EA-E342-9A7E-37AF81C19BB8}"/>
            </c:ext>
          </c:extLst>
        </c:ser>
        <c:ser>
          <c:idx val="3"/>
          <c:order val="3"/>
          <c:tx>
            <c:v>Biomass/Biofuel Energy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[1]Sheet2!$A$74:$A$87</c:f>
              <c:strCach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strCache>
            </c:strRef>
          </c:cat>
          <c:val>
            <c:numRef>
              <c:f>[1]Sheet2!$E$74:$E$87</c:f>
              <c:numCache>
                <c:formatCode>General</c:formatCode>
                <c:ptCount val="14"/>
                <c:pt idx="0">
                  <c:v>2016</c:v>
                </c:pt>
                <c:pt idx="1">
                  <c:v>2242.08</c:v>
                </c:pt>
                <c:pt idx="2">
                  <c:v>2385.6099999999997</c:v>
                </c:pt>
                <c:pt idx="3">
                  <c:v>4690.71</c:v>
                </c:pt>
                <c:pt idx="4">
                  <c:v>9461</c:v>
                </c:pt>
                <c:pt idx="5">
                  <c:v>13699.38</c:v>
                </c:pt>
                <c:pt idx="6">
                  <c:v>19240.009999999998</c:v>
                </c:pt>
                <c:pt idx="7">
                  <c:v>19397.38</c:v>
                </c:pt>
                <c:pt idx="8">
                  <c:v>20571.669999999998</c:v>
                </c:pt>
                <c:pt idx="9">
                  <c:v>23904.839999999997</c:v>
                </c:pt>
                <c:pt idx="10">
                  <c:v>26110.969999999994</c:v>
                </c:pt>
                <c:pt idx="11">
                  <c:v>27645.61</c:v>
                </c:pt>
                <c:pt idx="12">
                  <c:v>27851.39</c:v>
                </c:pt>
                <c:pt idx="13">
                  <c:v>23563.579999999998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EA-E342-9A7E-37AF81C19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16023327"/>
        <c:axId val="90111503"/>
      </c:barChart>
      <c:catAx>
        <c:axId val="116023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0111503"/>
        <c:crosses val="autoZero"/>
        <c:auto val="1"/>
        <c:lblAlgn val="ctr"/>
        <c:lblOffset val="100"/>
        <c:noMultiLvlLbl val="0"/>
      </c:catAx>
      <c:valAx>
        <c:axId val="9011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Electricity Generated (GWh)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1602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162CADF-6CA3-F142-983F-E193A46EDEE1}">
  <sheetPr/>
  <sheetViews>
    <sheetView zoomScale="10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3D2E24B-CE19-F640-BAD7-EAD9B00991C8}">
  <sheetPr/>
  <sheetViews>
    <sheetView zoomScale="10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7404" cy="606913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A782CE-1489-9F4E-801A-7F831ED12D9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17404" cy="606913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EFA2AE-6799-2945-8216-11DFF512A7E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K_Market_RES_Overvi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Contents"/>
      <sheetName val="Commentary"/>
      <sheetName val="Main Table"/>
      <sheetName val="Notes"/>
      <sheetName val="Annual"/>
      <sheetName val="Sheet2"/>
      <sheetName val="Quarter"/>
      <sheetName val="England - Annual"/>
      <sheetName val="England - Qtr"/>
      <sheetName val="Northern Ireland - Annual"/>
      <sheetName val="Sheet1"/>
      <sheetName val="Northern Ireland - Qtr"/>
      <sheetName val="Scotland- Annual"/>
      <sheetName val="Scotland - Qtr"/>
      <sheetName val="Wales- Annual"/>
      <sheetName val="Wales - Qtr"/>
      <sheetName val="Calculation_HIDE"/>
      <sheetName val="checks_HIDE"/>
    </sheetNames>
    <sheetDataSet>
      <sheetData sheetId="0"/>
      <sheetData sheetId="1"/>
      <sheetData sheetId="2"/>
      <sheetData sheetId="3"/>
      <sheetData sheetId="4"/>
      <sheetData sheetId="5"/>
      <sheetData sheetId="6">
        <row r="28">
          <cell r="A28" t="str">
            <v>2009</v>
          </cell>
          <cell r="B28">
            <v>4422</v>
          </cell>
          <cell r="C28">
            <v>1641</v>
          </cell>
          <cell r="D28">
            <v>27</v>
          </cell>
          <cell r="E28">
            <v>396</v>
          </cell>
        </row>
        <row r="29">
          <cell r="A29" t="str">
            <v>2010</v>
          </cell>
          <cell r="B29">
            <v>5421</v>
          </cell>
          <cell r="C29">
            <v>1651</v>
          </cell>
          <cell r="D29">
            <v>95</v>
          </cell>
          <cell r="E29">
            <v>432</v>
          </cell>
        </row>
        <row r="30">
          <cell r="A30" t="str">
            <v>2011</v>
          </cell>
          <cell r="B30">
            <v>6596</v>
          </cell>
          <cell r="C30">
            <v>1683</v>
          </cell>
          <cell r="D30">
            <v>1000</v>
          </cell>
          <cell r="E30">
            <v>1275</v>
          </cell>
        </row>
        <row r="31">
          <cell r="A31" t="str">
            <v>2012</v>
          </cell>
          <cell r="B31">
            <v>9030</v>
          </cell>
          <cell r="C31">
            <v>1702</v>
          </cell>
          <cell r="D31">
            <v>1754</v>
          </cell>
          <cell r="E31">
            <v>1277</v>
          </cell>
        </row>
        <row r="32">
          <cell r="A32" t="str">
            <v>2013</v>
          </cell>
          <cell r="B32">
            <v>11282</v>
          </cell>
          <cell r="C32">
            <v>1717</v>
          </cell>
          <cell r="D32">
            <v>2937</v>
          </cell>
          <cell r="E32">
            <v>2066</v>
          </cell>
        </row>
        <row r="33">
          <cell r="A33" t="str">
            <v>2014</v>
          </cell>
          <cell r="B33">
            <v>13074</v>
          </cell>
          <cell r="C33">
            <v>1739</v>
          </cell>
          <cell r="D33">
            <v>5528</v>
          </cell>
          <cell r="E33">
            <v>2369</v>
          </cell>
        </row>
        <row r="34">
          <cell r="A34" t="str">
            <v>2015</v>
          </cell>
          <cell r="B34">
            <v>14305.74</v>
          </cell>
          <cell r="C34">
            <v>1785.92</v>
          </cell>
          <cell r="D34">
            <v>9601.2199999999993</v>
          </cell>
          <cell r="E34">
            <v>2714.5899999999997</v>
          </cell>
        </row>
        <row r="35">
          <cell r="A35" t="str">
            <v>2016</v>
          </cell>
          <cell r="B35">
            <v>16125.929999999998</v>
          </cell>
          <cell r="C35">
            <v>1846.01</v>
          </cell>
          <cell r="D35">
            <v>11914.020000000002</v>
          </cell>
          <cell r="E35">
            <v>2962.8700000000008</v>
          </cell>
        </row>
        <row r="36">
          <cell r="A36" t="str">
            <v>2017</v>
          </cell>
          <cell r="B36">
            <v>19585</v>
          </cell>
          <cell r="C36">
            <v>1888.0400000000002</v>
          </cell>
          <cell r="D36">
            <v>12760.02</v>
          </cell>
          <cell r="E36">
            <v>3149.5100000000007</v>
          </cell>
        </row>
        <row r="37">
          <cell r="A37" t="str">
            <v>2018</v>
          </cell>
          <cell r="B37">
            <v>21605.35</v>
          </cell>
          <cell r="C37">
            <v>1897.5900000000001</v>
          </cell>
          <cell r="D37">
            <v>13059.07</v>
          </cell>
          <cell r="E37">
            <v>4638.0299999999988</v>
          </cell>
        </row>
        <row r="38">
          <cell r="A38" t="str">
            <v>2019</v>
          </cell>
          <cell r="B38">
            <v>23886.629999999997</v>
          </cell>
          <cell r="C38">
            <v>1902.3200000000002</v>
          </cell>
          <cell r="D38">
            <v>13344.84</v>
          </cell>
          <cell r="E38">
            <v>4731.1000000000004</v>
          </cell>
        </row>
        <row r="39">
          <cell r="A39" t="str">
            <v>2020</v>
          </cell>
          <cell r="B39">
            <v>24457.919999999998</v>
          </cell>
          <cell r="C39">
            <v>1907.57</v>
          </cell>
          <cell r="D39">
            <v>13552.7</v>
          </cell>
          <cell r="E39">
            <v>4739.49</v>
          </cell>
        </row>
        <row r="40">
          <cell r="A40" t="str">
            <v>2021</v>
          </cell>
          <cell r="B40">
            <v>25747.895</v>
          </cell>
          <cell r="C40">
            <v>1912.73</v>
          </cell>
          <cell r="D40">
            <v>13914.349999999999</v>
          </cell>
          <cell r="E40">
            <v>4738.63</v>
          </cell>
        </row>
        <row r="41">
          <cell r="A41" t="str">
            <v>2022</v>
          </cell>
          <cell r="B41">
            <v>28762.325000000001</v>
          </cell>
          <cell r="C41">
            <v>1912.74</v>
          </cell>
          <cell r="D41">
            <v>14650.99</v>
          </cell>
          <cell r="E41">
            <v>4750.5</v>
          </cell>
        </row>
        <row r="74">
          <cell r="A74" t="str">
            <v>2009</v>
          </cell>
          <cell r="B74">
            <v>9281</v>
          </cell>
          <cell r="C74">
            <v>5229</v>
          </cell>
          <cell r="D74">
            <v>20</v>
          </cell>
          <cell r="E74">
            <v>2016</v>
          </cell>
        </row>
        <row r="75">
          <cell r="A75" t="str">
            <v>2010</v>
          </cell>
          <cell r="B75">
            <v>10285.64</v>
          </cell>
          <cell r="C75">
            <v>3593.2599999999998</v>
          </cell>
          <cell r="D75">
            <v>40.28</v>
          </cell>
          <cell r="E75">
            <v>2242.08</v>
          </cell>
        </row>
        <row r="76">
          <cell r="A76" t="str">
            <v>2011</v>
          </cell>
          <cell r="B76">
            <v>15962.980000000001</v>
          </cell>
          <cell r="C76">
            <v>5692.6799999999994</v>
          </cell>
          <cell r="D76">
            <v>243.66000000000003</v>
          </cell>
          <cell r="E76">
            <v>2385.6099999999997</v>
          </cell>
        </row>
        <row r="77">
          <cell r="A77" t="str">
            <v>2012</v>
          </cell>
          <cell r="B77">
            <v>19847.12</v>
          </cell>
          <cell r="C77">
            <v>5313.85</v>
          </cell>
          <cell r="D77">
            <v>1353.76</v>
          </cell>
          <cell r="E77">
            <v>4690.71</v>
          </cell>
        </row>
        <row r="78">
          <cell r="A78" t="str">
            <v>2013</v>
          </cell>
          <cell r="B78">
            <v>28397.16</v>
          </cell>
          <cell r="C78">
            <v>4706.2400000000007</v>
          </cell>
          <cell r="D78">
            <v>2010.2600000000002</v>
          </cell>
          <cell r="E78">
            <v>9461</v>
          </cell>
        </row>
        <row r="79">
          <cell r="A79" t="str">
            <v>2014</v>
          </cell>
          <cell r="B79">
            <v>31959.239999999998</v>
          </cell>
          <cell r="C79">
            <v>5890.02</v>
          </cell>
          <cell r="D79">
            <v>4054.07</v>
          </cell>
          <cell r="E79">
            <v>13699.38</v>
          </cell>
        </row>
        <row r="80">
          <cell r="A80" t="str">
            <v>2015</v>
          </cell>
          <cell r="B80">
            <v>40274.729999999996</v>
          </cell>
          <cell r="C80">
            <v>6299.2699999999995</v>
          </cell>
          <cell r="D80">
            <v>7532.8600000000006</v>
          </cell>
          <cell r="E80">
            <v>19240.009999999998</v>
          </cell>
        </row>
        <row r="81">
          <cell r="A81" t="str">
            <v>2016</v>
          </cell>
          <cell r="B81">
            <v>37159.42</v>
          </cell>
          <cell r="C81">
            <v>5370.4000000000005</v>
          </cell>
          <cell r="D81">
            <v>10395.129999999999</v>
          </cell>
          <cell r="E81">
            <v>19397.38</v>
          </cell>
        </row>
        <row r="82">
          <cell r="A82" t="str">
            <v>2017</v>
          </cell>
          <cell r="B82">
            <v>49641.149999999994</v>
          </cell>
          <cell r="C82">
            <v>5886.05</v>
          </cell>
          <cell r="D82">
            <v>11457.240000000002</v>
          </cell>
          <cell r="E82">
            <v>20571.669999999998</v>
          </cell>
        </row>
        <row r="83">
          <cell r="A83" t="str">
            <v>2018</v>
          </cell>
          <cell r="B83">
            <v>56907.61</v>
          </cell>
          <cell r="C83">
            <v>5452.58</v>
          </cell>
          <cell r="D83">
            <v>12668.4</v>
          </cell>
          <cell r="E83">
            <v>23904.839999999997</v>
          </cell>
        </row>
        <row r="84">
          <cell r="A84" t="str">
            <v>2019</v>
          </cell>
          <cell r="B84">
            <v>63834.89</v>
          </cell>
          <cell r="C84">
            <v>5946.8799999999992</v>
          </cell>
          <cell r="D84">
            <v>12418.050000000001</v>
          </cell>
          <cell r="E84">
            <v>26110.969999999994</v>
          </cell>
        </row>
        <row r="85">
          <cell r="A85" t="str">
            <v>2020</v>
          </cell>
          <cell r="B85">
            <v>75379.88</v>
          </cell>
          <cell r="C85">
            <v>6880.0999999999995</v>
          </cell>
          <cell r="D85">
            <v>12503.96</v>
          </cell>
          <cell r="E85">
            <v>27645.61</v>
          </cell>
        </row>
        <row r="86">
          <cell r="A86" t="str">
            <v>2021</v>
          </cell>
          <cell r="B86">
            <v>64663.11</v>
          </cell>
          <cell r="C86">
            <v>5403.74</v>
          </cell>
          <cell r="D86">
            <v>12075.499999999998</v>
          </cell>
          <cell r="E86">
            <v>27851.39</v>
          </cell>
        </row>
        <row r="87">
          <cell r="A87" t="str">
            <v>2022</v>
          </cell>
          <cell r="B87">
            <v>80257.25</v>
          </cell>
          <cell r="C87">
            <v>5651.33</v>
          </cell>
          <cell r="D87">
            <v>13282.900000000001</v>
          </cell>
          <cell r="E87">
            <v>23563.579999999998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CB9D9-76AD-4D49-8038-1240D2187320}">
  <dimension ref="A2:G6"/>
  <sheetViews>
    <sheetView tabSelected="1" workbookViewId="0">
      <selection activeCell="D8" sqref="D8"/>
    </sheetView>
  </sheetViews>
  <sheetFormatPr baseColWidth="10" defaultRowHeight="16" x14ac:dyDescent="0.2"/>
  <sheetData>
    <row r="2" spans="1:7" s="47" customFormat="1" x14ac:dyDescent="0.2">
      <c r="A2" s="47" t="s">
        <v>55</v>
      </c>
    </row>
    <row r="4" spans="1:7" x14ac:dyDescent="0.2">
      <c r="A4" s="47" t="s">
        <v>58</v>
      </c>
    </row>
    <row r="5" spans="1:7" x14ac:dyDescent="0.2">
      <c r="A5" s="47" t="s">
        <v>56</v>
      </c>
      <c r="B5" s="47"/>
      <c r="C5" s="47"/>
      <c r="D5" s="47"/>
      <c r="E5" s="47"/>
      <c r="F5" s="47"/>
      <c r="G5" s="47"/>
    </row>
    <row r="6" spans="1:7" x14ac:dyDescent="0.2">
      <c r="A6" s="47" t="s">
        <v>57</v>
      </c>
      <c r="B6" s="47"/>
      <c r="C6" s="47"/>
      <c r="D6" s="47"/>
      <c r="E6" s="47"/>
      <c r="F6" s="47"/>
      <c r="G6" s="4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2245A-9C12-E049-8653-6E2CF4CEE1AC}">
  <dimension ref="A1:P87"/>
  <sheetViews>
    <sheetView workbookViewId="0">
      <selection activeCell="A60" sqref="A60"/>
    </sheetView>
  </sheetViews>
  <sheetFormatPr baseColWidth="10" defaultRowHeight="16" x14ac:dyDescent="0.2"/>
  <cols>
    <col min="1" max="1" width="37.1640625" bestFit="1" customWidth="1"/>
    <col min="2" max="5" width="31.5" bestFit="1" customWidth="1"/>
  </cols>
  <sheetData>
    <row r="1" spans="1:15" ht="34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">
      <c r="A2" s="29" t="s">
        <v>15</v>
      </c>
      <c r="B2" s="30">
        <v>3471</v>
      </c>
      <c r="C2" s="30">
        <v>4080</v>
      </c>
      <c r="D2" s="30">
        <v>4758</v>
      </c>
      <c r="E2" s="30">
        <v>6035</v>
      </c>
      <c r="F2" s="30">
        <v>7586</v>
      </c>
      <c r="G2" s="30">
        <v>8573</v>
      </c>
      <c r="H2" s="30">
        <v>9212.24</v>
      </c>
      <c r="I2" s="30">
        <v>10832.529999999999</v>
      </c>
      <c r="J2" s="30">
        <v>12597.150000000001</v>
      </c>
      <c r="K2" s="30">
        <v>13424.85</v>
      </c>
      <c r="L2" s="30">
        <v>13998.33</v>
      </c>
      <c r="M2" s="30">
        <v>14075.07</v>
      </c>
      <c r="N2" s="31">
        <v>14492.42</v>
      </c>
      <c r="O2" s="31">
        <v>14834.650000000001</v>
      </c>
    </row>
    <row r="3" spans="1:15" x14ac:dyDescent="0.2">
      <c r="A3" s="29" t="s">
        <v>16</v>
      </c>
      <c r="B3" s="30">
        <v>951</v>
      </c>
      <c r="C3" s="30">
        <v>1341</v>
      </c>
      <c r="D3" s="30">
        <v>1838</v>
      </c>
      <c r="E3" s="30">
        <v>2995</v>
      </c>
      <c r="F3" s="30">
        <v>3696</v>
      </c>
      <c r="G3" s="30">
        <v>4501</v>
      </c>
      <c r="H3" s="30">
        <v>5093.5</v>
      </c>
      <c r="I3" s="30">
        <v>5293.4</v>
      </c>
      <c r="J3" s="30">
        <v>6957.85</v>
      </c>
      <c r="K3" s="30">
        <v>8150.5</v>
      </c>
      <c r="L3" s="30">
        <v>9856.2999999999993</v>
      </c>
      <c r="M3" s="30">
        <v>10350.85</v>
      </c>
      <c r="N3" s="31">
        <v>11175.85</v>
      </c>
      <c r="O3" s="31">
        <v>13848.05</v>
      </c>
    </row>
    <row r="4" spans="1:15" x14ac:dyDescent="0.2">
      <c r="A4" s="29" t="s">
        <v>17</v>
      </c>
      <c r="B4" s="30">
        <v>0</v>
      </c>
      <c r="C4" s="30">
        <v>0</v>
      </c>
      <c r="D4" s="30">
        <v>0</v>
      </c>
      <c r="E4" s="30">
        <v>0</v>
      </c>
      <c r="F4" s="30">
        <v>0</v>
      </c>
      <c r="G4" s="30">
        <v>0</v>
      </c>
      <c r="H4" s="30">
        <v>0</v>
      </c>
      <c r="I4" s="30">
        <v>0</v>
      </c>
      <c r="J4" s="30">
        <v>30</v>
      </c>
      <c r="K4" s="30">
        <v>30</v>
      </c>
      <c r="L4" s="30">
        <v>32</v>
      </c>
      <c r="M4" s="30">
        <v>32</v>
      </c>
      <c r="N4" s="31">
        <v>79.625</v>
      </c>
      <c r="O4" s="31">
        <v>79.625</v>
      </c>
    </row>
    <row r="5" spans="1:15" x14ac:dyDescent="0.2">
      <c r="A5" s="29" t="s">
        <v>51</v>
      </c>
      <c r="B5" s="32">
        <f>SUM(B2:B4)</f>
        <v>4422</v>
      </c>
      <c r="C5" s="32">
        <f t="shared" ref="C5:O5" si="0">SUM(C2:C4)</f>
        <v>5421</v>
      </c>
      <c r="D5" s="32">
        <f t="shared" si="0"/>
        <v>6596</v>
      </c>
      <c r="E5" s="32">
        <f t="shared" si="0"/>
        <v>9030</v>
      </c>
      <c r="F5" s="32">
        <f t="shared" si="0"/>
        <v>11282</v>
      </c>
      <c r="G5" s="32">
        <f t="shared" si="0"/>
        <v>13074</v>
      </c>
      <c r="H5" s="32">
        <f t="shared" si="0"/>
        <v>14305.74</v>
      </c>
      <c r="I5" s="32">
        <f t="shared" si="0"/>
        <v>16125.929999999998</v>
      </c>
      <c r="J5" s="32">
        <f t="shared" si="0"/>
        <v>19585</v>
      </c>
      <c r="K5" s="32">
        <f t="shared" si="0"/>
        <v>21605.35</v>
      </c>
      <c r="L5" s="32">
        <f t="shared" si="0"/>
        <v>23886.629999999997</v>
      </c>
      <c r="M5" s="32">
        <f t="shared" si="0"/>
        <v>24457.919999999998</v>
      </c>
      <c r="N5" s="32">
        <f t="shared" si="0"/>
        <v>25747.895</v>
      </c>
      <c r="O5" s="32">
        <f t="shared" si="0"/>
        <v>28762.325000000001</v>
      </c>
    </row>
    <row r="6" spans="1:15" x14ac:dyDescent="0.2">
      <c r="A6" s="27" t="s">
        <v>51</v>
      </c>
      <c r="B6" s="28">
        <v>4422</v>
      </c>
      <c r="C6" s="28">
        <v>5421</v>
      </c>
      <c r="D6" s="28">
        <v>6596</v>
      </c>
      <c r="E6" s="28">
        <v>9030</v>
      </c>
      <c r="F6" s="28">
        <v>11282</v>
      </c>
      <c r="G6" s="28">
        <v>13074</v>
      </c>
      <c r="H6" s="28">
        <v>14305.74</v>
      </c>
      <c r="I6" s="28">
        <v>16125.929999999998</v>
      </c>
      <c r="J6" s="28">
        <v>19585</v>
      </c>
      <c r="K6" s="28">
        <v>21605.35</v>
      </c>
      <c r="L6" s="28">
        <v>23886.629999999997</v>
      </c>
      <c r="M6" s="28">
        <v>24457.919999999998</v>
      </c>
      <c r="N6" s="28">
        <v>25747.895</v>
      </c>
      <c r="O6" s="28">
        <v>28762.325000000001</v>
      </c>
    </row>
    <row r="7" spans="1:15" x14ac:dyDescent="0.2">
      <c r="A7" s="37" t="s">
        <v>52</v>
      </c>
      <c r="B7" s="38">
        <v>27</v>
      </c>
      <c r="C7" s="38">
        <v>95</v>
      </c>
      <c r="D7" s="38">
        <v>1000</v>
      </c>
      <c r="E7" s="38">
        <v>1754</v>
      </c>
      <c r="F7" s="38">
        <v>2937</v>
      </c>
      <c r="G7" s="38">
        <v>5528</v>
      </c>
      <c r="H7" s="38">
        <v>9601.2199999999993</v>
      </c>
      <c r="I7" s="38">
        <v>11914.020000000002</v>
      </c>
      <c r="J7" s="38">
        <v>12760.02</v>
      </c>
      <c r="K7" s="38">
        <v>13059.07</v>
      </c>
      <c r="L7" s="38">
        <v>13344.84</v>
      </c>
      <c r="M7" s="38">
        <v>13552.7</v>
      </c>
      <c r="N7" s="39">
        <v>13914.349999999999</v>
      </c>
      <c r="O7" s="39">
        <v>14650.99</v>
      </c>
    </row>
    <row r="8" spans="1:15" x14ac:dyDescent="0.2">
      <c r="A8" s="33" t="s">
        <v>20</v>
      </c>
      <c r="B8" s="34">
        <v>175</v>
      </c>
      <c r="C8" s="34">
        <v>188</v>
      </c>
      <c r="D8" s="34">
        <v>202</v>
      </c>
      <c r="E8" s="34">
        <v>216</v>
      </c>
      <c r="F8" s="34">
        <v>232</v>
      </c>
      <c r="G8" s="34">
        <v>253</v>
      </c>
      <c r="H8" s="34">
        <v>300.2</v>
      </c>
      <c r="I8" s="34">
        <v>359.23999999999995</v>
      </c>
      <c r="J8" s="34">
        <v>396.46000000000004</v>
      </c>
      <c r="K8" s="34">
        <v>404.01000000000005</v>
      </c>
      <c r="L8" s="34">
        <v>406.74</v>
      </c>
      <c r="M8" s="34">
        <v>414.59000000000003</v>
      </c>
      <c r="N8" s="35">
        <v>419.75</v>
      </c>
      <c r="O8" s="35">
        <v>419.76</v>
      </c>
    </row>
    <row r="9" spans="1:15" x14ac:dyDescent="0.2">
      <c r="A9" s="33" t="s">
        <v>21</v>
      </c>
      <c r="B9" s="34">
        <v>1464</v>
      </c>
      <c r="C9" s="34">
        <v>1459</v>
      </c>
      <c r="D9" s="34">
        <v>1477</v>
      </c>
      <c r="E9" s="34">
        <v>1477</v>
      </c>
      <c r="F9" s="34">
        <v>1477</v>
      </c>
      <c r="G9" s="34">
        <v>1477</v>
      </c>
      <c r="H9" s="34">
        <v>1476.78</v>
      </c>
      <c r="I9" s="34">
        <v>1473.28</v>
      </c>
      <c r="J9" s="34">
        <v>1473.18</v>
      </c>
      <c r="K9" s="34">
        <v>1473.18</v>
      </c>
      <c r="L9" s="34">
        <v>1473.18</v>
      </c>
      <c r="M9" s="34">
        <v>1470.68</v>
      </c>
      <c r="N9" s="35">
        <v>1470.68</v>
      </c>
      <c r="O9" s="35">
        <v>1470.68</v>
      </c>
    </row>
    <row r="10" spans="1:15" x14ac:dyDescent="0.2">
      <c r="A10" s="33" t="s">
        <v>22</v>
      </c>
      <c r="B10" s="36">
        <f t="shared" ref="B10:O10" si="1">SUM(B8:B9)</f>
        <v>1639</v>
      </c>
      <c r="C10" s="36">
        <f t="shared" si="1"/>
        <v>1647</v>
      </c>
      <c r="D10" s="36">
        <f t="shared" si="1"/>
        <v>1679</v>
      </c>
      <c r="E10" s="36">
        <f t="shared" si="1"/>
        <v>1693</v>
      </c>
      <c r="F10" s="36">
        <f t="shared" si="1"/>
        <v>1709</v>
      </c>
      <c r="G10" s="36">
        <f t="shared" si="1"/>
        <v>1730</v>
      </c>
      <c r="H10" s="36">
        <f t="shared" si="1"/>
        <v>1776.98</v>
      </c>
      <c r="I10" s="36">
        <f t="shared" si="1"/>
        <v>1832.52</v>
      </c>
      <c r="J10" s="36">
        <f t="shared" si="1"/>
        <v>1869.64</v>
      </c>
      <c r="K10" s="36">
        <f t="shared" si="1"/>
        <v>1877.19</v>
      </c>
      <c r="L10" s="36">
        <f t="shared" si="1"/>
        <v>1879.92</v>
      </c>
      <c r="M10" s="36">
        <f t="shared" si="1"/>
        <v>1885.27</v>
      </c>
      <c r="N10" s="36">
        <f t="shared" si="1"/>
        <v>1890.43</v>
      </c>
      <c r="O10" s="36">
        <f t="shared" si="1"/>
        <v>1890.44</v>
      </c>
    </row>
    <row r="11" spans="1:15" x14ac:dyDescent="0.2">
      <c r="A11" s="33" t="s">
        <v>23</v>
      </c>
      <c r="B11" s="34">
        <v>2</v>
      </c>
      <c r="C11" s="34">
        <v>4</v>
      </c>
      <c r="D11" s="34">
        <v>4</v>
      </c>
      <c r="E11" s="34">
        <v>9</v>
      </c>
      <c r="F11" s="34">
        <v>8</v>
      </c>
      <c r="G11" s="34">
        <v>9</v>
      </c>
      <c r="H11" s="34">
        <v>8.94</v>
      </c>
      <c r="I11" s="34">
        <v>13.49</v>
      </c>
      <c r="J11" s="34">
        <v>18.400000000000002</v>
      </c>
      <c r="K11" s="34">
        <v>20.400000000000002</v>
      </c>
      <c r="L11" s="34">
        <v>22.400000000000002</v>
      </c>
      <c r="M11" s="34">
        <v>22.3</v>
      </c>
      <c r="N11" s="35">
        <v>22.3</v>
      </c>
      <c r="O11" s="35">
        <v>22.3</v>
      </c>
    </row>
    <row r="12" spans="1:15" x14ac:dyDescent="0.2">
      <c r="A12" s="33" t="s">
        <v>53</v>
      </c>
      <c r="B12" s="36">
        <f>SUM(B10:B11)</f>
        <v>1641</v>
      </c>
      <c r="C12" s="36">
        <f t="shared" ref="C12:O12" si="2">SUM(C10:C11)</f>
        <v>1651</v>
      </c>
      <c r="D12" s="36">
        <f t="shared" si="2"/>
        <v>1683</v>
      </c>
      <c r="E12" s="36">
        <f t="shared" si="2"/>
        <v>1702</v>
      </c>
      <c r="F12" s="36">
        <f t="shared" si="2"/>
        <v>1717</v>
      </c>
      <c r="G12" s="36">
        <f t="shared" si="2"/>
        <v>1739</v>
      </c>
      <c r="H12" s="36">
        <f t="shared" si="2"/>
        <v>1785.92</v>
      </c>
      <c r="I12" s="36">
        <f t="shared" si="2"/>
        <v>1846.01</v>
      </c>
      <c r="J12" s="36">
        <f t="shared" si="2"/>
        <v>1888.0400000000002</v>
      </c>
      <c r="K12" s="36">
        <f t="shared" si="2"/>
        <v>1897.5900000000001</v>
      </c>
      <c r="L12" s="36">
        <f t="shared" si="2"/>
        <v>1902.3200000000002</v>
      </c>
      <c r="M12" s="36">
        <f t="shared" si="2"/>
        <v>1907.57</v>
      </c>
      <c r="N12" s="36">
        <f t="shared" si="2"/>
        <v>1912.73</v>
      </c>
      <c r="O12" s="36">
        <f t="shared" si="2"/>
        <v>1912.74</v>
      </c>
    </row>
    <row r="13" spans="1:15" x14ac:dyDescent="0.2">
      <c r="A13" s="56" t="s">
        <v>53</v>
      </c>
      <c r="B13" s="57">
        <v>1641</v>
      </c>
      <c r="C13" s="57">
        <v>1651</v>
      </c>
      <c r="D13" s="57">
        <v>1683</v>
      </c>
      <c r="E13" s="57">
        <v>1702</v>
      </c>
      <c r="F13" s="57">
        <v>1717</v>
      </c>
      <c r="G13" s="57">
        <v>1739</v>
      </c>
      <c r="H13" s="57">
        <v>1785.92</v>
      </c>
      <c r="I13" s="57">
        <v>1846.01</v>
      </c>
      <c r="J13" s="57">
        <v>1888.0400000000002</v>
      </c>
      <c r="K13" s="57">
        <v>1897.5900000000001</v>
      </c>
      <c r="L13" s="57">
        <v>1902.3200000000002</v>
      </c>
      <c r="M13" s="57">
        <v>1907.57</v>
      </c>
      <c r="N13" s="57">
        <v>1912.73</v>
      </c>
      <c r="O13" s="57">
        <v>1912.74</v>
      </c>
    </row>
    <row r="14" spans="1:15" x14ac:dyDescent="0.2">
      <c r="A14" s="5" t="s">
        <v>25</v>
      </c>
      <c r="B14" s="6">
        <v>968</v>
      </c>
      <c r="C14" s="6">
        <v>1021</v>
      </c>
      <c r="D14" s="6">
        <v>1053</v>
      </c>
      <c r="E14" s="6">
        <v>1042</v>
      </c>
      <c r="F14" s="6">
        <v>1050</v>
      </c>
      <c r="G14" s="6">
        <v>1058</v>
      </c>
      <c r="H14" s="6">
        <v>1061.32</v>
      </c>
      <c r="I14" s="6">
        <v>1061.9100000000001</v>
      </c>
      <c r="J14" s="6">
        <v>1066.1200000000001</v>
      </c>
      <c r="K14" s="6">
        <v>1063.06</v>
      </c>
      <c r="L14" s="6">
        <v>1055.49</v>
      </c>
      <c r="M14" s="6">
        <v>1054.5600000000002</v>
      </c>
      <c r="N14" s="7">
        <v>1055.5600000000002</v>
      </c>
      <c r="O14" s="7">
        <v>1059.4100000000001</v>
      </c>
    </row>
    <row r="15" spans="1:15" x14ac:dyDescent="0.2">
      <c r="A15" s="5" t="s">
        <v>26</v>
      </c>
      <c r="B15" s="6">
        <v>157</v>
      </c>
      <c r="C15" s="6">
        <v>193</v>
      </c>
      <c r="D15" s="6">
        <v>199</v>
      </c>
      <c r="E15" s="6">
        <v>212</v>
      </c>
      <c r="F15" s="6">
        <v>201</v>
      </c>
      <c r="G15" s="6">
        <v>230</v>
      </c>
      <c r="H15" s="6">
        <v>231.29999999999995</v>
      </c>
      <c r="I15" s="6">
        <v>257.33</v>
      </c>
      <c r="J15" s="6">
        <v>245.48999999999998</v>
      </c>
      <c r="K15" s="6">
        <v>246.51</v>
      </c>
      <c r="L15" s="6">
        <v>246.51</v>
      </c>
      <c r="M15" s="6">
        <v>246.51</v>
      </c>
      <c r="N15" s="7">
        <v>256.96999999999997</v>
      </c>
      <c r="O15" s="7">
        <v>267.69</v>
      </c>
    </row>
    <row r="16" spans="1:15" x14ac:dyDescent="0.2">
      <c r="A16" s="5" t="s">
        <v>27</v>
      </c>
      <c r="B16" s="6">
        <v>381</v>
      </c>
      <c r="C16" s="6">
        <v>413</v>
      </c>
      <c r="D16" s="6">
        <v>502</v>
      </c>
      <c r="E16" s="6">
        <v>513</v>
      </c>
      <c r="F16" s="6">
        <v>545</v>
      </c>
      <c r="G16" s="6">
        <v>680</v>
      </c>
      <c r="H16" s="6">
        <v>929.94</v>
      </c>
      <c r="I16" s="6">
        <v>1028.29</v>
      </c>
      <c r="J16" s="6">
        <v>1090.93</v>
      </c>
      <c r="K16" s="6">
        <v>1136.54</v>
      </c>
      <c r="L16" s="6">
        <v>1309.78</v>
      </c>
      <c r="M16" s="6">
        <v>1434.9299999999998</v>
      </c>
      <c r="N16" s="7">
        <v>1450.9099999999999</v>
      </c>
      <c r="O16" s="7">
        <v>1505.1499999999999</v>
      </c>
    </row>
    <row r="17" spans="1:16" x14ac:dyDescent="0.2">
      <c r="A17" s="5" t="s">
        <v>28</v>
      </c>
      <c r="B17" s="6">
        <v>12</v>
      </c>
      <c r="C17" s="6">
        <v>30</v>
      </c>
      <c r="D17" s="6">
        <v>74</v>
      </c>
      <c r="E17" s="6">
        <v>121</v>
      </c>
      <c r="F17" s="6">
        <v>163</v>
      </c>
      <c r="G17" s="6">
        <v>243</v>
      </c>
      <c r="H17" s="6">
        <v>335.74</v>
      </c>
      <c r="I17" s="6">
        <v>454.38</v>
      </c>
      <c r="J17" s="6">
        <v>507.44999999999993</v>
      </c>
      <c r="K17" s="6">
        <v>527.54999999999995</v>
      </c>
      <c r="L17" s="6">
        <v>541.65</v>
      </c>
      <c r="M17" s="6">
        <v>547.20999999999992</v>
      </c>
      <c r="N17" s="7">
        <v>614.16</v>
      </c>
      <c r="O17" s="7">
        <v>630.34</v>
      </c>
    </row>
    <row r="18" spans="1:16" x14ac:dyDescent="0.2">
      <c r="A18" s="40" t="s">
        <v>29</v>
      </c>
      <c r="B18" s="41">
        <v>285</v>
      </c>
      <c r="C18" s="41">
        <v>321</v>
      </c>
      <c r="D18" s="41">
        <v>1164</v>
      </c>
      <c r="E18" s="41">
        <v>1166</v>
      </c>
      <c r="F18" s="41">
        <v>1955</v>
      </c>
      <c r="G18" s="41">
        <v>2258</v>
      </c>
      <c r="H18" s="41">
        <v>2604.0699999999997</v>
      </c>
      <c r="I18" s="41">
        <v>2833.5500000000006</v>
      </c>
      <c r="J18" s="41">
        <v>3020.1900000000005</v>
      </c>
      <c r="K18" s="41">
        <v>4463.2699999999995</v>
      </c>
      <c r="L18" s="41">
        <v>4554.4900000000007</v>
      </c>
      <c r="M18" s="41">
        <v>4564.1000000000004</v>
      </c>
      <c r="N18" s="42">
        <v>4572.8500000000004</v>
      </c>
      <c r="O18" s="42">
        <v>4584.8900000000003</v>
      </c>
      <c r="P18" s="43"/>
    </row>
    <row r="19" spans="1:16" x14ac:dyDescent="0.2">
      <c r="A19" s="40" t="s">
        <v>30</v>
      </c>
      <c r="B19" s="41">
        <v>0</v>
      </c>
      <c r="C19" s="41" t="s">
        <v>31</v>
      </c>
      <c r="D19" s="41" t="s">
        <v>31</v>
      </c>
      <c r="E19" s="41" t="s">
        <v>31</v>
      </c>
      <c r="F19" s="41" t="s">
        <v>31</v>
      </c>
      <c r="G19" s="41" t="s">
        <v>31</v>
      </c>
      <c r="H19" s="41" t="s">
        <v>31</v>
      </c>
      <c r="I19" s="41" t="s">
        <v>31</v>
      </c>
      <c r="J19" s="41" t="s">
        <v>31</v>
      </c>
      <c r="K19" s="41">
        <v>45.44</v>
      </c>
      <c r="L19" s="41">
        <v>47.29</v>
      </c>
      <c r="M19" s="41">
        <v>46.07</v>
      </c>
      <c r="N19" s="44">
        <v>36.46</v>
      </c>
      <c r="O19" s="42">
        <v>36.29</v>
      </c>
      <c r="P19" s="43"/>
    </row>
    <row r="20" spans="1:16" x14ac:dyDescent="0.2">
      <c r="A20" s="40" t="s">
        <v>32</v>
      </c>
      <c r="B20" s="41">
        <v>111</v>
      </c>
      <c r="C20" s="41">
        <v>111</v>
      </c>
      <c r="D20" s="41">
        <v>111</v>
      </c>
      <c r="E20" s="41">
        <v>111</v>
      </c>
      <c r="F20" s="41">
        <v>111</v>
      </c>
      <c r="G20" s="41">
        <v>111</v>
      </c>
      <c r="H20" s="41">
        <v>110.52</v>
      </c>
      <c r="I20" s="41">
        <v>129.32</v>
      </c>
      <c r="J20" s="41">
        <v>129.32</v>
      </c>
      <c r="K20" s="41">
        <v>129.32</v>
      </c>
      <c r="L20" s="41">
        <v>129.32</v>
      </c>
      <c r="M20" s="41">
        <v>129.32</v>
      </c>
      <c r="N20" s="42">
        <v>129.32</v>
      </c>
      <c r="O20" s="42">
        <v>129.32</v>
      </c>
      <c r="P20" s="43"/>
    </row>
    <row r="21" spans="1:16" x14ac:dyDescent="0.2">
      <c r="A21" s="40" t="s">
        <v>33</v>
      </c>
      <c r="B21" s="45">
        <f>SUM(B18:B20)</f>
        <v>396</v>
      </c>
      <c r="C21" s="45">
        <f>SUM(C18:C20)</f>
        <v>432</v>
      </c>
      <c r="D21" s="45">
        <f t="shared" ref="D21:O21" si="3">SUM(D18:D20)</f>
        <v>1275</v>
      </c>
      <c r="E21" s="45">
        <f t="shared" si="3"/>
        <v>1277</v>
      </c>
      <c r="F21" s="45">
        <f t="shared" si="3"/>
        <v>2066</v>
      </c>
      <c r="G21" s="45">
        <f t="shared" si="3"/>
        <v>2369</v>
      </c>
      <c r="H21" s="45">
        <f t="shared" si="3"/>
        <v>2714.5899999999997</v>
      </c>
      <c r="I21" s="45">
        <f t="shared" si="3"/>
        <v>2962.8700000000008</v>
      </c>
      <c r="J21" s="45">
        <f t="shared" si="3"/>
        <v>3149.5100000000007</v>
      </c>
      <c r="K21" s="45">
        <f t="shared" si="3"/>
        <v>4638.0299999999988</v>
      </c>
      <c r="L21" s="45">
        <f t="shared" si="3"/>
        <v>4731.1000000000004</v>
      </c>
      <c r="M21" s="45">
        <f t="shared" si="3"/>
        <v>4739.49</v>
      </c>
      <c r="N21" s="45">
        <f t="shared" si="3"/>
        <v>4738.63</v>
      </c>
      <c r="O21" s="45">
        <f t="shared" si="3"/>
        <v>4750.5</v>
      </c>
      <c r="P21" s="43"/>
    </row>
    <row r="22" spans="1:16" x14ac:dyDescent="0.2">
      <c r="A22" s="48" t="s">
        <v>54</v>
      </c>
      <c r="B22" s="49">
        <v>396</v>
      </c>
      <c r="C22" s="49">
        <v>432</v>
      </c>
      <c r="D22" s="49">
        <v>1275</v>
      </c>
      <c r="E22" s="49">
        <v>1277</v>
      </c>
      <c r="F22" s="49">
        <v>2066</v>
      </c>
      <c r="G22" s="49">
        <v>2369</v>
      </c>
      <c r="H22" s="49">
        <v>2714.5899999999997</v>
      </c>
      <c r="I22" s="49">
        <v>2962.8700000000008</v>
      </c>
      <c r="J22" s="49">
        <v>3149.5100000000007</v>
      </c>
      <c r="K22" s="49">
        <v>4638.0299999999988</v>
      </c>
      <c r="L22" s="49">
        <v>4731.1000000000004</v>
      </c>
      <c r="M22" s="49">
        <v>4739.49</v>
      </c>
      <c r="N22" s="49">
        <v>4738.63</v>
      </c>
      <c r="O22" s="49">
        <v>4750.5</v>
      </c>
    </row>
    <row r="23" spans="1:16" x14ac:dyDescent="0.2">
      <c r="A23" s="12" t="s">
        <v>35</v>
      </c>
      <c r="B23" s="13">
        <v>8004</v>
      </c>
      <c r="C23" s="13">
        <v>9256</v>
      </c>
      <c r="D23" s="13">
        <v>12382</v>
      </c>
      <c r="E23" s="13">
        <v>15651</v>
      </c>
      <c r="F23" s="13">
        <v>19961</v>
      </c>
      <c r="G23" s="13">
        <v>24921</v>
      </c>
      <c r="H23" s="13">
        <v>30965.77</v>
      </c>
      <c r="I23" s="13">
        <v>35650.740000000005</v>
      </c>
      <c r="J23" s="13">
        <v>40292.559999999998</v>
      </c>
      <c r="K23" s="13">
        <v>44173.700000000004</v>
      </c>
      <c r="L23" s="13">
        <v>47018.319999999992</v>
      </c>
      <c r="M23" s="13">
        <v>47940.889999999992</v>
      </c>
      <c r="N23" s="14">
        <v>49691.204999999994</v>
      </c>
      <c r="O23" s="15">
        <v>53539.145000000004</v>
      </c>
    </row>
    <row r="24" spans="1:16" x14ac:dyDescent="0.2">
      <c r="A24" s="16" t="s">
        <v>36</v>
      </c>
      <c r="B24" s="17">
        <v>208</v>
      </c>
      <c r="C24" s="17">
        <v>278</v>
      </c>
      <c r="D24" s="17">
        <v>353</v>
      </c>
      <c r="E24" s="17">
        <v>208</v>
      </c>
      <c r="F24" s="17">
        <v>39</v>
      </c>
      <c r="G24" s="17">
        <v>14</v>
      </c>
      <c r="H24" s="17">
        <v>21</v>
      </c>
      <c r="I24" s="17">
        <v>13</v>
      </c>
      <c r="J24" s="17">
        <v>6</v>
      </c>
      <c r="K24" s="17">
        <v>0.12</v>
      </c>
      <c r="L24" s="17">
        <v>0.19</v>
      </c>
      <c r="M24" s="17">
        <v>0</v>
      </c>
      <c r="N24" s="17">
        <v>0</v>
      </c>
      <c r="O24" s="18">
        <v>0</v>
      </c>
    </row>
    <row r="25" spans="1:16" x14ac:dyDescent="0.2">
      <c r="G25" s="19"/>
      <c r="H25" s="19"/>
      <c r="I25" s="19"/>
      <c r="J25" s="19"/>
      <c r="K25" s="19"/>
      <c r="L25" s="19"/>
      <c r="M25" s="19"/>
      <c r="N25" s="19"/>
      <c r="O25" s="20"/>
    </row>
    <row r="26" spans="1:16" x14ac:dyDescent="0.2">
      <c r="B26" s="19"/>
      <c r="C26" s="19"/>
      <c r="D26" s="19"/>
      <c r="E26" s="19"/>
      <c r="F26" s="19"/>
      <c r="G26" s="6"/>
      <c r="H26" s="6"/>
      <c r="I26" s="6"/>
      <c r="J26" s="6"/>
      <c r="K26" s="6"/>
      <c r="L26" s="6"/>
      <c r="M26" s="6"/>
      <c r="N26" s="21"/>
      <c r="O26" s="21"/>
    </row>
    <row r="27" spans="1:16" ht="17" x14ac:dyDescent="0.2">
      <c r="A27" s="1" t="s">
        <v>38</v>
      </c>
      <c r="F27" s="6"/>
      <c r="G27" s="6"/>
      <c r="H27" s="6"/>
      <c r="I27" s="6"/>
      <c r="J27" s="6"/>
      <c r="K27" s="6"/>
      <c r="L27" s="6"/>
      <c r="M27" s="6"/>
      <c r="N27" s="21"/>
      <c r="O27" s="21"/>
    </row>
    <row r="28" spans="1:16" x14ac:dyDescent="0.2">
      <c r="A28" s="5" t="s">
        <v>37</v>
      </c>
      <c r="B28" s="46" t="s">
        <v>18</v>
      </c>
      <c r="C28" s="50" t="s">
        <v>24</v>
      </c>
      <c r="D28" s="50" t="s">
        <v>19</v>
      </c>
      <c r="E28" s="46" t="s">
        <v>34</v>
      </c>
      <c r="G28" s="6"/>
      <c r="H28" s="6"/>
      <c r="I28" s="6"/>
      <c r="J28" s="6"/>
      <c r="K28" s="6"/>
      <c r="L28" s="6"/>
      <c r="M28" s="6"/>
      <c r="N28" s="21"/>
      <c r="O28" s="21"/>
    </row>
    <row r="29" spans="1:16" x14ac:dyDescent="0.2">
      <c r="A29" s="22" t="s">
        <v>1</v>
      </c>
      <c r="B29">
        <v>4422</v>
      </c>
      <c r="C29" s="8">
        <v>1641</v>
      </c>
      <c r="D29" s="9">
        <v>27</v>
      </c>
      <c r="E29">
        <v>396</v>
      </c>
      <c r="F29" s="6">
        <v>0</v>
      </c>
      <c r="G29" s="6"/>
      <c r="H29" s="6"/>
      <c r="I29" s="6"/>
      <c r="J29" s="6"/>
      <c r="K29" s="6"/>
      <c r="L29" s="6"/>
      <c r="M29" s="6"/>
      <c r="N29" s="21"/>
      <c r="O29" s="21"/>
    </row>
    <row r="30" spans="1:16" x14ac:dyDescent="0.2">
      <c r="A30" s="23" t="s">
        <v>2</v>
      </c>
      <c r="B30">
        <v>5421</v>
      </c>
      <c r="C30" s="8">
        <v>1651</v>
      </c>
      <c r="D30" s="9">
        <v>95</v>
      </c>
      <c r="E30">
        <v>432</v>
      </c>
      <c r="F30" s="6">
        <v>1</v>
      </c>
      <c r="G30" s="6"/>
      <c r="H30" s="6"/>
      <c r="I30" s="6"/>
      <c r="J30" s="6"/>
      <c r="K30" s="6"/>
      <c r="L30" s="6"/>
      <c r="M30" s="6"/>
      <c r="N30" s="21"/>
      <c r="O30" s="21"/>
    </row>
    <row r="31" spans="1:16" x14ac:dyDescent="0.2">
      <c r="A31" s="23" t="s">
        <v>3</v>
      </c>
      <c r="B31">
        <v>6596</v>
      </c>
      <c r="C31" s="8">
        <v>1683</v>
      </c>
      <c r="D31" s="9">
        <v>1000</v>
      </c>
      <c r="E31">
        <v>1275</v>
      </c>
      <c r="F31" s="6">
        <v>2</v>
      </c>
      <c r="G31" s="6"/>
      <c r="H31" s="6"/>
      <c r="I31" s="6"/>
      <c r="J31" s="6"/>
      <c r="K31" s="6"/>
      <c r="L31" s="6"/>
      <c r="M31" s="6"/>
      <c r="N31" s="21"/>
      <c r="O31" s="21"/>
    </row>
    <row r="32" spans="1:16" x14ac:dyDescent="0.2">
      <c r="A32" s="23" t="s">
        <v>4</v>
      </c>
      <c r="B32">
        <v>9030</v>
      </c>
      <c r="C32" s="8">
        <v>1702</v>
      </c>
      <c r="D32" s="9">
        <v>1754</v>
      </c>
      <c r="E32">
        <v>1277</v>
      </c>
      <c r="F32" s="6">
        <v>3</v>
      </c>
      <c r="G32" s="6"/>
      <c r="H32" s="6"/>
      <c r="I32" s="6"/>
      <c r="J32" s="6"/>
      <c r="K32" s="6"/>
      <c r="L32" s="6"/>
      <c r="M32" s="6"/>
      <c r="N32" s="21"/>
      <c r="O32" s="21"/>
    </row>
    <row r="33" spans="1:15" x14ac:dyDescent="0.2">
      <c r="A33" s="23" t="s">
        <v>5</v>
      </c>
      <c r="B33">
        <v>11282</v>
      </c>
      <c r="C33" s="8">
        <v>1717</v>
      </c>
      <c r="D33" s="9">
        <v>2937</v>
      </c>
      <c r="E33">
        <v>2066</v>
      </c>
      <c r="F33" s="6">
        <v>4</v>
      </c>
      <c r="G33" s="6"/>
      <c r="H33" s="6"/>
      <c r="I33" s="6"/>
      <c r="J33" s="6"/>
      <c r="K33" s="6"/>
      <c r="L33" s="6"/>
      <c r="M33" s="6"/>
      <c r="N33" s="21"/>
      <c r="O33" s="21"/>
    </row>
    <row r="34" spans="1:15" x14ac:dyDescent="0.2">
      <c r="A34" s="23" t="s">
        <v>6</v>
      </c>
      <c r="B34">
        <v>13074</v>
      </c>
      <c r="C34" s="8">
        <v>1739</v>
      </c>
      <c r="D34" s="9">
        <v>5528</v>
      </c>
      <c r="E34">
        <v>2369</v>
      </c>
      <c r="F34" s="6">
        <v>5</v>
      </c>
      <c r="G34" s="6"/>
      <c r="H34" s="6"/>
      <c r="I34" s="6"/>
      <c r="J34" s="6"/>
      <c r="K34" s="6"/>
      <c r="L34" s="6"/>
      <c r="M34" s="6"/>
      <c r="N34" s="21"/>
      <c r="O34" s="24"/>
    </row>
    <row r="35" spans="1:15" x14ac:dyDescent="0.2">
      <c r="A35" s="23" t="s">
        <v>7</v>
      </c>
      <c r="B35">
        <v>14305.74</v>
      </c>
      <c r="C35" s="8">
        <v>1785.92</v>
      </c>
      <c r="D35" s="9">
        <v>9601.2199999999993</v>
      </c>
      <c r="E35">
        <v>2714.5899999999997</v>
      </c>
      <c r="F35" s="6">
        <v>6</v>
      </c>
      <c r="G35" s="13"/>
      <c r="H35" s="13"/>
      <c r="I35" s="13"/>
      <c r="J35" s="13"/>
      <c r="K35" s="13"/>
      <c r="L35" s="13"/>
      <c r="M35" s="13"/>
      <c r="N35" s="15"/>
      <c r="O35" s="15"/>
    </row>
    <row r="36" spans="1:15" x14ac:dyDescent="0.2">
      <c r="A36" s="22" t="s">
        <v>8</v>
      </c>
      <c r="B36">
        <v>16125.929999999998</v>
      </c>
      <c r="C36" s="8">
        <v>1846.01</v>
      </c>
      <c r="D36" s="9">
        <v>11914.020000000002</v>
      </c>
      <c r="E36">
        <v>2962.8700000000008</v>
      </c>
      <c r="F36" s="6">
        <v>7</v>
      </c>
      <c r="G36" s="17"/>
      <c r="H36" s="17"/>
      <c r="I36" s="17"/>
      <c r="J36" s="17"/>
      <c r="K36" s="17"/>
      <c r="L36" s="17"/>
      <c r="M36" s="17"/>
      <c r="N36" s="11"/>
      <c r="O36" s="25"/>
    </row>
    <row r="37" spans="1:15" x14ac:dyDescent="0.2">
      <c r="A37" s="22" t="s">
        <v>9</v>
      </c>
      <c r="B37">
        <v>19585</v>
      </c>
      <c r="C37" s="8">
        <v>1888.0400000000002</v>
      </c>
      <c r="D37" s="9">
        <v>12760.02</v>
      </c>
      <c r="E37">
        <v>3149.5100000000007</v>
      </c>
      <c r="F37" s="6">
        <v>8</v>
      </c>
    </row>
    <row r="38" spans="1:15" x14ac:dyDescent="0.2">
      <c r="A38" s="22" t="s">
        <v>10</v>
      </c>
      <c r="B38">
        <v>21605.35</v>
      </c>
      <c r="C38" s="8">
        <v>1897.5900000000001</v>
      </c>
      <c r="D38" s="9">
        <v>13059.07</v>
      </c>
      <c r="E38">
        <v>4638.0299999999988</v>
      </c>
      <c r="F38" s="6">
        <v>9</v>
      </c>
    </row>
    <row r="39" spans="1:15" x14ac:dyDescent="0.2">
      <c r="A39" s="22" t="s">
        <v>11</v>
      </c>
      <c r="B39">
        <v>23886.629999999997</v>
      </c>
      <c r="C39" s="8">
        <v>1902.3200000000002</v>
      </c>
      <c r="D39" s="9">
        <v>13344.84</v>
      </c>
      <c r="E39">
        <v>4731.1000000000004</v>
      </c>
      <c r="F39" s="6">
        <v>10</v>
      </c>
    </row>
    <row r="40" spans="1:15" x14ac:dyDescent="0.2">
      <c r="A40" s="22" t="s">
        <v>12</v>
      </c>
      <c r="B40">
        <v>24457.919999999998</v>
      </c>
      <c r="C40" s="8">
        <v>1907.57</v>
      </c>
      <c r="D40" s="9">
        <v>13552.7</v>
      </c>
      <c r="E40">
        <v>4739.49</v>
      </c>
      <c r="F40" s="6">
        <v>11</v>
      </c>
    </row>
    <row r="41" spans="1:15" x14ac:dyDescent="0.2">
      <c r="A41" s="22" t="s">
        <v>13</v>
      </c>
      <c r="B41">
        <v>25747.895</v>
      </c>
      <c r="C41" s="8">
        <v>1912.73</v>
      </c>
      <c r="D41" s="10">
        <v>13914.349999999999</v>
      </c>
      <c r="E41">
        <v>4738.63</v>
      </c>
      <c r="F41" s="6">
        <v>12</v>
      </c>
    </row>
    <row r="42" spans="1:15" x14ac:dyDescent="0.2">
      <c r="A42" s="22" t="s">
        <v>14</v>
      </c>
      <c r="B42">
        <v>28762.325000000001</v>
      </c>
      <c r="C42" s="8">
        <v>1912.74</v>
      </c>
      <c r="D42" s="10">
        <v>14650.99</v>
      </c>
      <c r="E42">
        <v>4750.5</v>
      </c>
      <c r="F42" s="6">
        <v>13</v>
      </c>
    </row>
    <row r="43" spans="1:15" x14ac:dyDescent="0.2">
      <c r="B43" s="26"/>
    </row>
    <row r="45" spans="1:15" ht="85" x14ac:dyDescent="0.2">
      <c r="A45" s="1" t="s">
        <v>39</v>
      </c>
      <c r="B45" s="19" t="s">
        <v>1</v>
      </c>
      <c r="C45" s="19" t="s">
        <v>2</v>
      </c>
      <c r="D45" s="19" t="s">
        <v>3</v>
      </c>
      <c r="E45" s="19" t="s">
        <v>4</v>
      </c>
      <c r="F45" s="19" t="s">
        <v>5</v>
      </c>
      <c r="G45" s="19" t="s">
        <v>6</v>
      </c>
      <c r="H45" s="19" t="s">
        <v>7</v>
      </c>
      <c r="I45" s="19" t="s">
        <v>8</v>
      </c>
      <c r="J45" s="19" t="s">
        <v>9</v>
      </c>
      <c r="K45" s="19" t="s">
        <v>10</v>
      </c>
      <c r="L45" s="19" t="s">
        <v>11</v>
      </c>
      <c r="M45" s="19" t="s">
        <v>12</v>
      </c>
      <c r="N45" s="19" t="s">
        <v>13</v>
      </c>
      <c r="O45" s="20" t="s">
        <v>14</v>
      </c>
    </row>
    <row r="46" spans="1:15" x14ac:dyDescent="0.2">
      <c r="A46" s="29" t="s">
        <v>40</v>
      </c>
      <c r="B46" s="30">
        <v>7527</v>
      </c>
      <c r="C46" s="30">
        <v>7225.9699999999993</v>
      </c>
      <c r="D46" s="30">
        <v>10813.95</v>
      </c>
      <c r="E46" s="30">
        <v>12243.949999999999</v>
      </c>
      <c r="F46" s="30">
        <v>16925.38</v>
      </c>
      <c r="G46" s="30">
        <v>18554.649999999998</v>
      </c>
      <c r="H46" s="30">
        <v>22851.989999999998</v>
      </c>
      <c r="I46" s="30">
        <v>20753.68</v>
      </c>
      <c r="J46" s="30">
        <v>28725.23</v>
      </c>
      <c r="K46" s="30">
        <v>30382.410000000003</v>
      </c>
      <c r="L46" s="30">
        <v>31859.739999999998</v>
      </c>
      <c r="M46" s="30">
        <v>34698.790000000008</v>
      </c>
      <c r="N46" s="52">
        <v>29153.57</v>
      </c>
      <c r="O46" s="52">
        <v>35237.379999999997</v>
      </c>
    </row>
    <row r="47" spans="1:15" x14ac:dyDescent="0.2">
      <c r="A47" s="29" t="s">
        <v>41</v>
      </c>
      <c r="B47" s="30">
        <v>1754</v>
      </c>
      <c r="C47" s="30">
        <v>3059.67</v>
      </c>
      <c r="D47" s="30">
        <v>5149.0300000000007</v>
      </c>
      <c r="E47" s="30">
        <v>7603.17</v>
      </c>
      <c r="F47" s="30">
        <v>11471.779999999999</v>
      </c>
      <c r="G47" s="30">
        <v>13404.59</v>
      </c>
      <c r="H47" s="30">
        <v>17422.740000000002</v>
      </c>
      <c r="I47" s="30">
        <v>16405.740000000002</v>
      </c>
      <c r="J47" s="30">
        <v>20915.919999999998</v>
      </c>
      <c r="K47" s="30">
        <v>26525.199999999997</v>
      </c>
      <c r="L47" s="30">
        <v>31975.15</v>
      </c>
      <c r="M47" s="30">
        <v>40681.089999999997</v>
      </c>
      <c r="N47" s="52">
        <v>35509.54</v>
      </c>
      <c r="O47" s="52">
        <v>45019.87</v>
      </c>
    </row>
    <row r="48" spans="1:15" x14ac:dyDescent="0.2">
      <c r="A48" s="27" t="s">
        <v>51</v>
      </c>
      <c r="B48" s="51">
        <f>SUM(B46:B47)</f>
        <v>9281</v>
      </c>
      <c r="C48" s="51">
        <f t="shared" ref="C48:O48" si="4">SUM(C46:C47)</f>
        <v>10285.64</v>
      </c>
      <c r="D48" s="51">
        <f t="shared" si="4"/>
        <v>15962.980000000001</v>
      </c>
      <c r="E48" s="51">
        <f t="shared" si="4"/>
        <v>19847.12</v>
      </c>
      <c r="F48" s="51">
        <f t="shared" si="4"/>
        <v>28397.16</v>
      </c>
      <c r="G48" s="51">
        <f t="shared" si="4"/>
        <v>31959.239999999998</v>
      </c>
      <c r="H48" s="51">
        <f t="shared" si="4"/>
        <v>40274.729999999996</v>
      </c>
      <c r="I48" s="51">
        <f t="shared" si="4"/>
        <v>37159.42</v>
      </c>
      <c r="J48" s="51">
        <f t="shared" si="4"/>
        <v>49641.149999999994</v>
      </c>
      <c r="K48" s="51">
        <f t="shared" si="4"/>
        <v>56907.61</v>
      </c>
      <c r="L48" s="51">
        <f t="shared" si="4"/>
        <v>63834.89</v>
      </c>
      <c r="M48" s="51">
        <f t="shared" si="4"/>
        <v>75379.88</v>
      </c>
      <c r="N48" s="51">
        <f t="shared" si="4"/>
        <v>64663.11</v>
      </c>
      <c r="O48" s="51">
        <f t="shared" si="4"/>
        <v>80257.25</v>
      </c>
    </row>
    <row r="49" spans="1:15" x14ac:dyDescent="0.2">
      <c r="B49">
        <v>9281</v>
      </c>
      <c r="C49">
        <v>10285.64</v>
      </c>
      <c r="D49">
        <v>15962.980000000001</v>
      </c>
      <c r="E49">
        <v>19847.12</v>
      </c>
      <c r="F49">
        <v>28397.16</v>
      </c>
      <c r="G49">
        <v>31959.239999999998</v>
      </c>
      <c r="H49">
        <v>40274.729999999996</v>
      </c>
      <c r="I49">
        <v>37159.42</v>
      </c>
      <c r="J49">
        <v>49641.149999999994</v>
      </c>
      <c r="K49">
        <v>56907.61</v>
      </c>
      <c r="L49">
        <v>63834.89</v>
      </c>
      <c r="M49">
        <v>75379.88</v>
      </c>
      <c r="N49">
        <v>64663.11</v>
      </c>
      <c r="O49">
        <v>80257.25</v>
      </c>
    </row>
    <row r="50" spans="1:15" x14ac:dyDescent="0.2">
      <c r="A50" s="33" t="s">
        <v>42</v>
      </c>
      <c r="B50" s="34">
        <v>1</v>
      </c>
      <c r="C50" s="34">
        <v>1.89</v>
      </c>
      <c r="D50" s="34">
        <v>0.94</v>
      </c>
      <c r="E50" s="34">
        <v>4.21</v>
      </c>
      <c r="F50" s="34">
        <v>4.76</v>
      </c>
      <c r="G50" s="34">
        <v>2.2199999999999998</v>
      </c>
      <c r="H50" s="34">
        <v>2</v>
      </c>
      <c r="I50" s="34">
        <v>0.01</v>
      </c>
      <c r="J50" s="34">
        <v>4.1900000000000004</v>
      </c>
      <c r="K50" s="34">
        <v>9.2999999999999989</v>
      </c>
      <c r="L50" s="34">
        <v>13.99</v>
      </c>
      <c r="M50" s="34">
        <v>11.280000000000001</v>
      </c>
      <c r="N50" s="54">
        <v>5.4799999999999995</v>
      </c>
      <c r="O50" s="54">
        <v>11.2</v>
      </c>
    </row>
    <row r="51" spans="1:15" x14ac:dyDescent="0.2">
      <c r="A51" s="33" t="s">
        <v>43</v>
      </c>
      <c r="B51" s="34">
        <v>5228</v>
      </c>
      <c r="C51" s="34">
        <v>3591.37</v>
      </c>
      <c r="D51" s="34">
        <v>5691.74</v>
      </c>
      <c r="E51" s="34">
        <v>5309.64</v>
      </c>
      <c r="F51" s="34">
        <v>4701.4800000000005</v>
      </c>
      <c r="G51" s="34">
        <v>5887.8</v>
      </c>
      <c r="H51" s="34">
        <v>6297.2699999999995</v>
      </c>
      <c r="I51" s="34">
        <v>5370.39</v>
      </c>
      <c r="J51" s="34">
        <v>5881.8600000000006</v>
      </c>
      <c r="K51" s="34">
        <v>5443.28</v>
      </c>
      <c r="L51" s="34">
        <v>5932.8899999999994</v>
      </c>
      <c r="M51" s="34">
        <v>6868.82</v>
      </c>
      <c r="N51" s="54">
        <v>5398.26</v>
      </c>
      <c r="O51" s="54">
        <v>5640.13</v>
      </c>
    </row>
    <row r="52" spans="1:15" x14ac:dyDescent="0.2">
      <c r="A52" s="55"/>
      <c r="B52" s="36">
        <f>SUM(B50:B51)</f>
        <v>5229</v>
      </c>
      <c r="C52" s="36">
        <f t="shared" ref="C52:O52" si="5">SUM(C50:C51)</f>
        <v>3593.2599999999998</v>
      </c>
      <c r="D52" s="36">
        <f t="shared" si="5"/>
        <v>5692.6799999999994</v>
      </c>
      <c r="E52" s="36">
        <f t="shared" si="5"/>
        <v>5313.85</v>
      </c>
      <c r="F52" s="36">
        <f t="shared" si="5"/>
        <v>4706.2400000000007</v>
      </c>
      <c r="G52" s="36">
        <f t="shared" si="5"/>
        <v>5890.02</v>
      </c>
      <c r="H52" s="36">
        <f t="shared" si="5"/>
        <v>6299.2699999999995</v>
      </c>
      <c r="I52" s="36">
        <f t="shared" si="5"/>
        <v>5370.4000000000005</v>
      </c>
      <c r="J52" s="36">
        <f t="shared" si="5"/>
        <v>5886.05</v>
      </c>
      <c r="K52" s="36">
        <f t="shared" si="5"/>
        <v>5452.58</v>
      </c>
      <c r="L52" s="36">
        <f t="shared" si="5"/>
        <v>5946.8799999999992</v>
      </c>
      <c r="M52" s="36">
        <f t="shared" si="5"/>
        <v>6880.0999999999995</v>
      </c>
      <c r="N52" s="36">
        <f t="shared" si="5"/>
        <v>5403.74</v>
      </c>
      <c r="O52" s="36">
        <f t="shared" si="5"/>
        <v>5651.33</v>
      </c>
    </row>
    <row r="53" spans="1:15" x14ac:dyDescent="0.2">
      <c r="A53" s="58" t="s">
        <v>53</v>
      </c>
      <c r="B53" s="58">
        <v>5229</v>
      </c>
      <c r="C53" s="58">
        <v>3593.2599999999998</v>
      </c>
      <c r="D53" s="58">
        <v>5692.6799999999994</v>
      </c>
      <c r="E53" s="58">
        <v>5313.85</v>
      </c>
      <c r="F53" s="58">
        <v>4706.2400000000007</v>
      </c>
      <c r="G53" s="58">
        <v>5890.02</v>
      </c>
      <c r="H53" s="58">
        <v>6299.2699999999995</v>
      </c>
      <c r="I53" s="58">
        <v>5370.4000000000005</v>
      </c>
      <c r="J53" s="58">
        <v>5886.05</v>
      </c>
      <c r="K53" s="58">
        <v>5452.58</v>
      </c>
      <c r="L53" s="58">
        <v>5946.8799999999992</v>
      </c>
      <c r="M53" s="58">
        <v>6880.0999999999995</v>
      </c>
      <c r="N53" s="58">
        <v>5403.74</v>
      </c>
      <c r="O53" s="58">
        <v>5651.33</v>
      </c>
    </row>
    <row r="54" spans="1:15" x14ac:dyDescent="0.2">
      <c r="A54" s="37" t="s">
        <v>19</v>
      </c>
      <c r="B54" s="38">
        <v>20</v>
      </c>
      <c r="C54" s="38">
        <v>40.28</v>
      </c>
      <c r="D54" s="38">
        <v>243.66000000000003</v>
      </c>
      <c r="E54" s="38">
        <v>1353.76</v>
      </c>
      <c r="F54" s="38">
        <v>2010.2600000000002</v>
      </c>
      <c r="G54" s="38">
        <v>4054.07</v>
      </c>
      <c r="H54" s="38">
        <v>7532.8600000000006</v>
      </c>
      <c r="I54" s="38">
        <v>10395.129999999999</v>
      </c>
      <c r="J54" s="38">
        <v>11457.240000000002</v>
      </c>
      <c r="K54" s="38">
        <v>12668.4</v>
      </c>
      <c r="L54" s="38">
        <v>12418.050000000001</v>
      </c>
      <c r="M54" s="38">
        <v>12503.96</v>
      </c>
      <c r="N54" s="62">
        <v>12075.499999999998</v>
      </c>
      <c r="O54" s="62">
        <v>13282.900000000001</v>
      </c>
    </row>
    <row r="55" spans="1:15" x14ac:dyDescent="0.2">
      <c r="A55" s="40" t="s">
        <v>44</v>
      </c>
      <c r="B55" s="41">
        <v>1379</v>
      </c>
      <c r="C55" s="41">
        <v>1614.8700000000001</v>
      </c>
      <c r="D55" s="41">
        <v>1771</v>
      </c>
      <c r="E55" s="41">
        <v>4047.8199999999997</v>
      </c>
      <c r="F55" s="41">
        <v>8832.76</v>
      </c>
      <c r="G55" s="41">
        <v>13085.48</v>
      </c>
      <c r="H55" s="41">
        <v>18592.199999999997</v>
      </c>
      <c r="I55" s="41">
        <v>18747.18</v>
      </c>
      <c r="J55" s="41">
        <v>19922.489999999998</v>
      </c>
      <c r="K55" s="41">
        <v>23135.98</v>
      </c>
      <c r="L55" s="41">
        <v>25305.659999999996</v>
      </c>
      <c r="M55" s="41">
        <v>26852.21</v>
      </c>
      <c r="N55" s="53">
        <v>27086.22</v>
      </c>
      <c r="O55" s="53">
        <v>22813.77</v>
      </c>
    </row>
    <row r="56" spans="1:15" x14ac:dyDescent="0.2">
      <c r="A56" s="40" t="s">
        <v>30</v>
      </c>
      <c r="B56" s="41"/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134.91999999999999</v>
      </c>
      <c r="L56" s="41">
        <v>144.47999999999999</v>
      </c>
      <c r="M56" s="41">
        <v>146.19999999999999</v>
      </c>
      <c r="N56" s="53">
        <v>148.80000000000001</v>
      </c>
      <c r="O56" s="59">
        <v>147.28</v>
      </c>
    </row>
    <row r="57" spans="1:15" x14ac:dyDescent="0.2">
      <c r="A57" s="40" t="s">
        <v>45</v>
      </c>
      <c r="B57" s="41">
        <v>637</v>
      </c>
      <c r="C57" s="41">
        <v>627.21</v>
      </c>
      <c r="D57" s="41">
        <v>614.6099999999999</v>
      </c>
      <c r="E57" s="41">
        <v>642.89</v>
      </c>
      <c r="F57" s="41">
        <v>628.24</v>
      </c>
      <c r="G57" s="41">
        <v>613.9</v>
      </c>
      <c r="H57" s="41">
        <v>647.81000000000006</v>
      </c>
      <c r="I57" s="41">
        <v>650.20000000000005</v>
      </c>
      <c r="J57" s="41">
        <v>649.18000000000006</v>
      </c>
      <c r="K57" s="41">
        <v>633.93999999999994</v>
      </c>
      <c r="L57" s="41">
        <v>660.82999999999993</v>
      </c>
      <c r="M57" s="41">
        <v>647.20000000000005</v>
      </c>
      <c r="N57" s="53">
        <v>616.37</v>
      </c>
      <c r="O57" s="53">
        <v>602.53000000000009</v>
      </c>
    </row>
    <row r="58" spans="1:15" x14ac:dyDescent="0.2">
      <c r="A58" s="43"/>
      <c r="B58" s="45">
        <f>SUM(B55:B57)</f>
        <v>2016</v>
      </c>
      <c r="C58" s="45">
        <f t="shared" ref="C58:O58" si="6">SUM(C55:C57)</f>
        <v>2242.08</v>
      </c>
      <c r="D58" s="45">
        <f t="shared" si="6"/>
        <v>2385.6099999999997</v>
      </c>
      <c r="E58" s="45">
        <f t="shared" si="6"/>
        <v>4690.71</v>
      </c>
      <c r="F58" s="45">
        <f t="shared" si="6"/>
        <v>9461</v>
      </c>
      <c r="G58" s="45">
        <f t="shared" si="6"/>
        <v>13699.38</v>
      </c>
      <c r="H58" s="45">
        <f t="shared" si="6"/>
        <v>19240.009999999998</v>
      </c>
      <c r="I58" s="45">
        <f t="shared" si="6"/>
        <v>19397.38</v>
      </c>
      <c r="J58" s="45">
        <f t="shared" si="6"/>
        <v>20571.669999999998</v>
      </c>
      <c r="K58" s="45">
        <f t="shared" si="6"/>
        <v>23904.839999999997</v>
      </c>
      <c r="L58" s="45">
        <f t="shared" si="6"/>
        <v>26110.969999999994</v>
      </c>
      <c r="M58" s="45">
        <f t="shared" si="6"/>
        <v>27645.61</v>
      </c>
      <c r="N58" s="45">
        <f t="shared" si="6"/>
        <v>27851.39</v>
      </c>
      <c r="O58" s="45">
        <f t="shared" si="6"/>
        <v>23563.579999999998</v>
      </c>
    </row>
    <row r="59" spans="1:15" x14ac:dyDescent="0.2">
      <c r="A59" s="60" t="s">
        <v>54</v>
      </c>
      <c r="B59" s="61">
        <v>2016</v>
      </c>
      <c r="C59" s="61">
        <v>2242.08</v>
      </c>
      <c r="D59" s="61">
        <v>2385.6099999999997</v>
      </c>
      <c r="E59" s="61">
        <v>4690.71</v>
      </c>
      <c r="F59" s="61">
        <v>9461</v>
      </c>
      <c r="G59" s="61">
        <v>13699.38</v>
      </c>
      <c r="H59" s="61">
        <v>19240.009999999998</v>
      </c>
      <c r="I59" s="61">
        <v>19397.38</v>
      </c>
      <c r="J59" s="61">
        <v>20571.669999999998</v>
      </c>
      <c r="K59" s="61">
        <v>23904.839999999997</v>
      </c>
      <c r="L59" s="61">
        <v>26110.969999999994</v>
      </c>
      <c r="M59" s="61">
        <v>27645.61</v>
      </c>
      <c r="N59" s="61">
        <v>27851.39</v>
      </c>
      <c r="O59" s="61">
        <v>23563.579999999998</v>
      </c>
    </row>
    <row r="60" spans="1:15" x14ac:dyDescent="0.2">
      <c r="A60" s="5" t="s">
        <v>46</v>
      </c>
      <c r="B60" s="6">
        <v>4918</v>
      </c>
      <c r="C60" s="6">
        <v>5216.8599999999997</v>
      </c>
      <c r="D60" s="6">
        <v>5318.02</v>
      </c>
      <c r="E60" s="6">
        <v>5208.5</v>
      </c>
      <c r="F60" s="6">
        <v>5174.6499999999996</v>
      </c>
      <c r="G60" s="6">
        <v>5033.2100000000009</v>
      </c>
      <c r="H60" s="6">
        <v>4872.18</v>
      </c>
      <c r="I60" s="6">
        <v>4702.8600000000006</v>
      </c>
      <c r="J60" s="6">
        <v>4283.8</v>
      </c>
      <c r="K60" s="6">
        <v>3915.79</v>
      </c>
      <c r="L60" s="6">
        <v>3624.3199999999997</v>
      </c>
      <c r="M60" s="6">
        <v>3496.0899999999997</v>
      </c>
      <c r="N60" s="21">
        <v>3312.88</v>
      </c>
      <c r="O60" s="21">
        <v>3101.1400000000003</v>
      </c>
    </row>
    <row r="61" spans="1:15" x14ac:dyDescent="0.2">
      <c r="A61" s="5" t="s">
        <v>47</v>
      </c>
      <c r="B61" s="6">
        <v>603</v>
      </c>
      <c r="C61" s="6">
        <v>723.45999999999992</v>
      </c>
      <c r="D61" s="6">
        <v>775</v>
      </c>
      <c r="E61" s="6">
        <v>738.54</v>
      </c>
      <c r="F61" s="6">
        <v>765.98</v>
      </c>
      <c r="G61" s="6">
        <v>840.1400000000001</v>
      </c>
      <c r="H61" s="6">
        <v>894.37</v>
      </c>
      <c r="I61" s="6">
        <v>950.3</v>
      </c>
      <c r="J61" s="6">
        <v>967.33999999999992</v>
      </c>
      <c r="K61" s="6">
        <v>992.03</v>
      </c>
      <c r="L61" s="6">
        <v>1048.6199999999999</v>
      </c>
      <c r="M61" s="6">
        <v>1066.78</v>
      </c>
      <c r="N61" s="21">
        <v>1046.71</v>
      </c>
      <c r="O61" s="21">
        <v>1008.24</v>
      </c>
    </row>
    <row r="62" spans="1:15" x14ac:dyDescent="0.2">
      <c r="A62" s="5" t="s">
        <v>48</v>
      </c>
      <c r="B62" s="6">
        <v>1509</v>
      </c>
      <c r="C62" s="6">
        <v>1528.76</v>
      </c>
      <c r="D62" s="6">
        <v>1504.03</v>
      </c>
      <c r="E62" s="6">
        <v>1772.9</v>
      </c>
      <c r="F62" s="6">
        <v>1648.17</v>
      </c>
      <c r="G62" s="6">
        <v>1899.87</v>
      </c>
      <c r="H62" s="6">
        <v>2582.4299999999998</v>
      </c>
      <c r="I62" s="6">
        <v>2739.75</v>
      </c>
      <c r="J62" s="6">
        <v>3385.5999999999995</v>
      </c>
      <c r="K62" s="6">
        <v>3490.44</v>
      </c>
      <c r="L62" s="6">
        <v>3791.5699999999997</v>
      </c>
      <c r="M62" s="6">
        <v>4346.7300000000005</v>
      </c>
      <c r="N62" s="21">
        <v>4558.82</v>
      </c>
      <c r="O62" s="21">
        <v>4756.3900000000003</v>
      </c>
    </row>
    <row r="63" spans="1:15" x14ac:dyDescent="0.2">
      <c r="A63" s="5" t="s">
        <v>49</v>
      </c>
      <c r="B63" s="6">
        <v>1625</v>
      </c>
      <c r="C63" s="6">
        <v>2432.44</v>
      </c>
      <c r="D63" s="6">
        <v>3093.04</v>
      </c>
      <c r="E63" s="6">
        <v>1828.5</v>
      </c>
      <c r="F63" s="6">
        <v>337.26</v>
      </c>
      <c r="G63" s="6">
        <v>123.84</v>
      </c>
      <c r="H63" s="6">
        <v>183.31</v>
      </c>
      <c r="I63" s="6">
        <v>117.46</v>
      </c>
      <c r="J63" s="6">
        <v>53.879999999999995</v>
      </c>
      <c r="K63" s="6">
        <v>1.08</v>
      </c>
      <c r="L63" s="6">
        <v>1.68</v>
      </c>
      <c r="M63" s="6">
        <v>0</v>
      </c>
      <c r="N63" s="21">
        <v>0</v>
      </c>
      <c r="O63" s="21">
        <v>0</v>
      </c>
    </row>
    <row r="65" spans="1:15" x14ac:dyDescent="0.2">
      <c r="A65" s="5" t="s">
        <v>28</v>
      </c>
      <c r="B65" s="6">
        <v>43</v>
      </c>
      <c r="C65" s="6">
        <v>117.49000000000001</v>
      </c>
      <c r="D65" s="6">
        <v>237.18</v>
      </c>
      <c r="E65" s="6">
        <v>494.63</v>
      </c>
      <c r="F65" s="6">
        <v>713.05</v>
      </c>
      <c r="G65" s="6">
        <v>1022.56</v>
      </c>
      <c r="H65" s="6">
        <v>1484.67</v>
      </c>
      <c r="I65" s="6">
        <v>2157.79</v>
      </c>
      <c r="J65" s="6">
        <v>2631.8900000000003</v>
      </c>
      <c r="K65" s="6">
        <v>2797.56</v>
      </c>
      <c r="L65" s="6">
        <v>2949</v>
      </c>
      <c r="M65" s="6">
        <v>2959.65</v>
      </c>
      <c r="N65" s="21">
        <v>3277.18</v>
      </c>
      <c r="O65" s="21">
        <v>3390.91</v>
      </c>
    </row>
    <row r="68" spans="1:15" x14ac:dyDescent="0.2">
      <c r="A68" s="12" t="s">
        <v>35</v>
      </c>
      <c r="B68" s="13">
        <v>25244</v>
      </c>
      <c r="C68" s="13">
        <v>26180.26</v>
      </c>
      <c r="D68" s="13">
        <v>35212.17</v>
      </c>
      <c r="E68" s="13">
        <v>41248.54</v>
      </c>
      <c r="F68" s="13">
        <v>53213.77</v>
      </c>
      <c r="G68" s="13">
        <v>64522.33</v>
      </c>
      <c r="H68" s="13">
        <v>83363.829999999987</v>
      </c>
      <c r="I68" s="13">
        <v>82990.490000000005</v>
      </c>
      <c r="J68" s="13">
        <v>98878.62</v>
      </c>
      <c r="K68" s="13">
        <v>110130.33000000002</v>
      </c>
      <c r="L68" s="13">
        <v>119725.98000000001</v>
      </c>
      <c r="M68" s="13">
        <v>134278.79999999999</v>
      </c>
      <c r="N68" s="15">
        <v>122189.32999999999</v>
      </c>
      <c r="O68" s="15">
        <v>135011.74</v>
      </c>
    </row>
    <row r="72" spans="1:15" x14ac:dyDescent="0.2">
      <c r="A72" s="50" t="s">
        <v>50</v>
      </c>
    </row>
    <row r="73" spans="1:15" x14ac:dyDescent="0.2">
      <c r="A73" s="5" t="s">
        <v>37</v>
      </c>
      <c r="B73" s="46" t="s">
        <v>18</v>
      </c>
      <c r="C73" s="50" t="s">
        <v>24</v>
      </c>
      <c r="D73" s="50" t="s">
        <v>19</v>
      </c>
      <c r="E73" s="46" t="s">
        <v>34</v>
      </c>
    </row>
    <row r="74" spans="1:15" x14ac:dyDescent="0.2">
      <c r="A74" s="2" t="s">
        <v>1</v>
      </c>
      <c r="B74">
        <v>9281</v>
      </c>
      <c r="C74">
        <v>5229</v>
      </c>
      <c r="D74" s="6">
        <v>20</v>
      </c>
      <c r="E74">
        <v>2016</v>
      </c>
    </row>
    <row r="75" spans="1:15" x14ac:dyDescent="0.2">
      <c r="A75" s="3" t="s">
        <v>2</v>
      </c>
      <c r="B75">
        <v>10285.64</v>
      </c>
      <c r="C75">
        <v>3593.2599999999998</v>
      </c>
      <c r="D75" s="6">
        <v>40.28</v>
      </c>
      <c r="E75">
        <v>2242.08</v>
      </c>
    </row>
    <row r="76" spans="1:15" x14ac:dyDescent="0.2">
      <c r="A76" s="3" t="s">
        <v>3</v>
      </c>
      <c r="B76">
        <v>15962.980000000001</v>
      </c>
      <c r="C76">
        <v>5692.6799999999994</v>
      </c>
      <c r="D76" s="6">
        <v>243.66000000000003</v>
      </c>
      <c r="E76">
        <v>2385.6099999999997</v>
      </c>
    </row>
    <row r="77" spans="1:15" x14ac:dyDescent="0.2">
      <c r="A77" s="3" t="s">
        <v>4</v>
      </c>
      <c r="B77">
        <v>19847.12</v>
      </c>
      <c r="C77">
        <v>5313.85</v>
      </c>
      <c r="D77" s="6">
        <v>1353.76</v>
      </c>
      <c r="E77">
        <v>4690.71</v>
      </c>
    </row>
    <row r="78" spans="1:15" x14ac:dyDescent="0.2">
      <c r="A78" s="3" t="s">
        <v>5</v>
      </c>
      <c r="B78">
        <v>28397.16</v>
      </c>
      <c r="C78">
        <v>4706.2400000000007</v>
      </c>
      <c r="D78" s="6">
        <v>2010.2600000000002</v>
      </c>
      <c r="E78">
        <v>9461</v>
      </c>
    </row>
    <row r="79" spans="1:15" x14ac:dyDescent="0.2">
      <c r="A79" s="3" t="s">
        <v>6</v>
      </c>
      <c r="B79">
        <v>31959.239999999998</v>
      </c>
      <c r="C79">
        <v>5890.02</v>
      </c>
      <c r="D79" s="6">
        <v>4054.07</v>
      </c>
      <c r="E79">
        <v>13699.38</v>
      </c>
    </row>
    <row r="80" spans="1:15" x14ac:dyDescent="0.2">
      <c r="A80" s="4" t="s">
        <v>7</v>
      </c>
      <c r="B80">
        <v>40274.729999999996</v>
      </c>
      <c r="C80">
        <v>6299.2699999999995</v>
      </c>
      <c r="D80" s="6">
        <v>7532.8600000000006</v>
      </c>
      <c r="E80">
        <v>19240.009999999998</v>
      </c>
    </row>
    <row r="81" spans="1:5" x14ac:dyDescent="0.2">
      <c r="A81" s="2" t="s">
        <v>8</v>
      </c>
      <c r="B81">
        <v>37159.42</v>
      </c>
      <c r="C81">
        <v>5370.4000000000005</v>
      </c>
      <c r="D81" s="6">
        <v>10395.129999999999</v>
      </c>
      <c r="E81">
        <v>19397.38</v>
      </c>
    </row>
    <row r="82" spans="1:5" x14ac:dyDescent="0.2">
      <c r="A82" s="2" t="s">
        <v>9</v>
      </c>
      <c r="B82">
        <v>49641.149999999994</v>
      </c>
      <c r="C82">
        <v>5886.05</v>
      </c>
      <c r="D82" s="6">
        <v>11457.240000000002</v>
      </c>
      <c r="E82">
        <v>20571.669999999998</v>
      </c>
    </row>
    <row r="83" spans="1:5" x14ac:dyDescent="0.2">
      <c r="A83" s="2" t="s">
        <v>10</v>
      </c>
      <c r="B83">
        <v>56907.61</v>
      </c>
      <c r="C83">
        <v>5452.58</v>
      </c>
      <c r="D83" s="6">
        <v>12668.4</v>
      </c>
      <c r="E83">
        <v>23904.839999999997</v>
      </c>
    </row>
    <row r="84" spans="1:5" x14ac:dyDescent="0.2">
      <c r="A84" s="2" t="s">
        <v>11</v>
      </c>
      <c r="B84">
        <v>63834.89</v>
      </c>
      <c r="C84">
        <v>5946.8799999999992</v>
      </c>
      <c r="D84" s="6">
        <v>12418.050000000001</v>
      </c>
      <c r="E84">
        <v>26110.969999999994</v>
      </c>
    </row>
    <row r="85" spans="1:5" x14ac:dyDescent="0.2">
      <c r="A85" s="2" t="s">
        <v>12</v>
      </c>
      <c r="B85">
        <v>75379.88</v>
      </c>
      <c r="C85">
        <v>6880.0999999999995</v>
      </c>
      <c r="D85" s="6">
        <v>12503.96</v>
      </c>
      <c r="E85">
        <v>27645.61</v>
      </c>
    </row>
    <row r="86" spans="1:5" x14ac:dyDescent="0.2">
      <c r="A86" s="2" t="s">
        <v>13</v>
      </c>
      <c r="B86">
        <v>64663.11</v>
      </c>
      <c r="C86">
        <v>5403.74</v>
      </c>
      <c r="D86" s="21">
        <v>12075.499999999998</v>
      </c>
      <c r="E86">
        <v>27851.39</v>
      </c>
    </row>
    <row r="87" spans="1:5" x14ac:dyDescent="0.2">
      <c r="A87" s="2" t="s">
        <v>14</v>
      </c>
      <c r="B87">
        <v>80257.25</v>
      </c>
      <c r="C87">
        <v>5651.33</v>
      </c>
      <c r="D87" s="21">
        <v>13282.900000000001</v>
      </c>
      <c r="E87">
        <v>23563.579999999998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Read me first</vt:lpstr>
      <vt:lpstr>Raw Data &amp; Calcs</vt:lpstr>
      <vt:lpstr>Chart- Cumu. Installed Capacity</vt:lpstr>
      <vt:lpstr>Chart- Generated Electricity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TENG Pingfan</dc:creator>
  <cp:lastModifiedBy>TENG Pingfan</cp:lastModifiedBy>
  <dcterms:created xsi:type="dcterms:W3CDTF">2024-03-31T23:50:03Z</dcterms:created>
  <dcterms:modified xsi:type="dcterms:W3CDTF">2024-04-01T00:10:10Z</dcterms:modified>
</cp:coreProperties>
</file>