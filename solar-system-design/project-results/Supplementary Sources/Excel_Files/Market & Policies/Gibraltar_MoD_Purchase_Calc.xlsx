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r_lee/Desktop/Solar_ASSESSMENT/Supplementary_Sources/Excel_Files/Market &amp; Policies/"/>
    </mc:Choice>
  </mc:AlternateContent>
  <xr:revisionPtr revIDLastSave="0" documentId="13_ncr:1_{C92A0102-7155-CA47-BDFC-47BC1231A8C5}" xr6:coauthVersionLast="45" xr6:coauthVersionMax="45" xr10:uidLastSave="{00000000-0000-0000-0000-000000000000}"/>
  <bookViews>
    <workbookView xWindow="0" yWindow="460" windowWidth="28800" windowHeight="16500" activeTab="1" xr2:uid="{00000000-000D-0000-FFFF-FFFF00000000}"/>
  </bookViews>
  <sheets>
    <sheet name="Read me first" sheetId="13" r:id="rId1"/>
    <sheet name="Calculated Average" sheetId="12" r:id="rId2"/>
    <sheet name="2013" sheetId="1" r:id="rId3"/>
    <sheet name="2014" sheetId="2" r:id="rId4"/>
    <sheet name="2015" sheetId="3" r:id="rId5"/>
    <sheet name="2016" sheetId="4" r:id="rId6"/>
    <sheet name="2017" sheetId="5" r:id="rId7"/>
    <sheet name="2018" sheetId="6" r:id="rId8"/>
    <sheet name="2019" sheetId="7" r:id="rId9"/>
    <sheet name="2020" sheetId="8" r:id="rId10"/>
    <sheet name="2021" sheetId="9" r:id="rId11"/>
    <sheet name="2022" sheetId="10" r:id="rId12"/>
    <sheet name="2023" sheetId="11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6" i="12" l="1"/>
  <c r="L4" i="12" l="1"/>
  <c r="M4" i="12"/>
  <c r="C5" i="12" l="1"/>
  <c r="I5" i="12" s="1"/>
  <c r="C6" i="12"/>
  <c r="I6" i="12" s="1"/>
  <c r="C7" i="12"/>
  <c r="I7" i="12" s="1"/>
  <c r="C8" i="12"/>
  <c r="I8" i="12" s="1"/>
  <c r="C9" i="12"/>
  <c r="I9" i="12" s="1"/>
  <c r="C10" i="12"/>
  <c r="I10" i="12" s="1"/>
  <c r="C11" i="12"/>
  <c r="I11" i="12" s="1"/>
  <c r="C12" i="12"/>
  <c r="I12" i="12" s="1"/>
  <c r="C13" i="12"/>
  <c r="I13" i="12" s="1"/>
  <c r="C14" i="12"/>
  <c r="I14" i="12" s="1"/>
  <c r="C15" i="12"/>
  <c r="I15" i="12" s="1"/>
  <c r="C4" i="12"/>
  <c r="I4" i="12" s="1"/>
  <c r="B6" i="12"/>
  <c r="F6" i="12" s="1"/>
  <c r="J6" i="12" s="1"/>
  <c r="B5" i="12"/>
  <c r="F5" i="12" s="1"/>
  <c r="J5" i="12" s="1"/>
  <c r="B7" i="12"/>
  <c r="F7" i="12" s="1"/>
  <c r="J7" i="12" s="1"/>
  <c r="B8" i="12"/>
  <c r="F8" i="12" s="1"/>
  <c r="J8" i="12" s="1"/>
  <c r="B9" i="12"/>
  <c r="F9" i="12" s="1"/>
  <c r="J9" i="12" s="1"/>
  <c r="B10" i="12"/>
  <c r="F10" i="12" s="1"/>
  <c r="J10" i="12" s="1"/>
  <c r="B11" i="12"/>
  <c r="F11" i="12" s="1"/>
  <c r="J11" i="12" s="1"/>
  <c r="B12" i="12"/>
  <c r="F12" i="12" s="1"/>
  <c r="J12" i="12" s="1"/>
  <c r="B13" i="12"/>
  <c r="F13" i="12" s="1"/>
  <c r="J13" i="12" s="1"/>
  <c r="B14" i="12"/>
  <c r="F14" i="12" s="1"/>
  <c r="J14" i="12" s="1"/>
  <c r="B15" i="12"/>
  <c r="F15" i="12" s="1"/>
  <c r="J15" i="12" s="1"/>
  <c r="B4" i="12"/>
  <c r="B16" i="12" l="1"/>
  <c r="C16" i="12"/>
  <c r="I16" i="12" s="1"/>
  <c r="F4" i="12"/>
  <c r="J4" i="12" l="1"/>
  <c r="J16" i="12" s="1"/>
  <c r="F16" i="12"/>
</calcChain>
</file>

<file path=xl/sharedStrings.xml><?xml version="1.0" encoding="utf-8"?>
<sst xmlns="http://schemas.openxmlformats.org/spreadsheetml/2006/main" count="234" uniqueCount="28">
  <si>
    <t>Month</t>
  </si>
  <si>
    <t>Units of electricity (kWh)</t>
  </si>
  <si>
    <t>Value of electricity (£)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</si>
  <si>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</si>
  <si>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</si>
  <si>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</si>
  <si>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</si>
  <si>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</si>
  <si>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</si>
  <si>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</si>
  <si>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</si>
  <si>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</si>
  <si>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</si>
  <si>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</si>
  <si>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</si>
  <si>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</si>
  <si>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Between 2013 to 2023</t>
  </si>
  <si>
    <t>Averaged total</t>
  </si>
  <si>
    <t>Averaged</t>
  </si>
  <si>
    <t>MWh</t>
  </si>
  <si>
    <t>GWh</t>
  </si>
  <si>
    <t>GBP/MWh</t>
  </si>
  <si>
    <t>GBP/kWh</t>
  </si>
  <si>
    <t>Raw Data</t>
  </si>
  <si>
    <t>Calculated</t>
  </si>
  <si>
    <t>Annual Rate</t>
  </si>
  <si>
    <t>Average data was calculated from the obtained data of the cited resource in the main</t>
  </si>
  <si>
    <t>Cost (k£)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</si>
</sst>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1" fillId="0" borderId="0" xfId="0" applyFont="1"/>
    <xf numFmtId="0" fontId="0" fillId="2" borderId="0" xfId="0" applyFill="1"/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2" fontId="0" fillId="0" borderId="0" xfId="0" applyNumberFormat="1"/>
    <xf numFmtId="0" fontId="0" fillId="3" borderId="0" xfId="0" applyFill="1"/>
    <xf numFmtId="0" fontId="1" fillId="0" borderId="0" xfId="0" applyFont="1" applyFill="1" applyBorder="1" applyAlignment="1">
      <alignment horizontal="center" vertical="top"/>
    </xf>
    <xf numFmtId="0" fontId="0" fillId="0" borderId="0" xfId="0" applyFill="1"/>
    <xf numFmtId="0" fontId="1" fillId="4" borderId="0" xfId="0" applyFont="1" applyFill="1"/>
    <xf numFmtId="2" fontId="1" fillId="4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'Calculated Average'!$A$4:$A$15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'Calculated Average'!$F$4:$F$15</c:f>
              <c:numCache>
                <c:formatCode>0.00</c:formatCode>
                <c:ptCount val="12"/>
                <c:pt idx="0">
                  <c:v>3011.413</c:v>
                </c:pt>
                <c:pt idx="1">
                  <c:v>2747.7689999999998</c:v>
                </c:pt>
                <c:pt idx="2">
                  <c:v>2912.471</c:v>
                </c:pt>
                <c:pt idx="3">
                  <c:v>2721.48</c:v>
                </c:pt>
                <c:pt idx="4">
                  <c:v>2027.4059999999999</c:v>
                </c:pt>
                <c:pt idx="5">
                  <c:v>1745.31</c:v>
                </c:pt>
                <c:pt idx="6">
                  <c:v>1925.164</c:v>
                </c:pt>
                <c:pt idx="7">
                  <c:v>2061.3380000000002</c:v>
                </c:pt>
                <c:pt idx="8">
                  <c:v>1970.93</c:v>
                </c:pt>
                <c:pt idx="9">
                  <c:v>2159.0920000000001</c:v>
                </c:pt>
                <c:pt idx="10">
                  <c:v>2061.3249999999998</c:v>
                </c:pt>
                <c:pt idx="11">
                  <c:v>1648.038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1-ED48-AF51-2EF62E108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99023"/>
        <c:axId val="187759631"/>
      </c:barChart>
      <c:catAx>
        <c:axId val="908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7759631"/>
        <c:crosses val="autoZero"/>
        <c:auto val="1"/>
        <c:lblAlgn val="ctr"/>
        <c:lblOffset val="100"/>
        <c:noMultiLvlLbl val="0"/>
      </c:catAx>
      <c:valAx>
        <c:axId val="1877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Averaged Electricity</a:t>
                </a:r>
                <a:r>
                  <a:rPr lang="en-GB" sz="1400" baseline="0"/>
                  <a:t> in MWh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89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'Calculated Average'!$A$4:$A$15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'Calculated Average'!$I$4:$I$15</c:f>
              <c:numCache>
                <c:formatCode>0.00</c:formatCode>
                <c:ptCount val="12"/>
                <c:pt idx="0">
                  <c:v>382.83829999999995</c:v>
                </c:pt>
                <c:pt idx="1">
                  <c:v>349.7729799999999</c:v>
                </c:pt>
                <c:pt idx="2">
                  <c:v>370.89484999999996</c:v>
                </c:pt>
                <c:pt idx="3">
                  <c:v>346.03280999999993</c:v>
                </c:pt>
                <c:pt idx="4">
                  <c:v>261.80232999999998</c:v>
                </c:pt>
                <c:pt idx="5">
                  <c:v>226.14605</c:v>
                </c:pt>
                <c:pt idx="6">
                  <c:v>249.11194</c:v>
                </c:pt>
                <c:pt idx="7">
                  <c:v>264.60314999999997</c:v>
                </c:pt>
                <c:pt idx="8">
                  <c:v>254.42307000000002</c:v>
                </c:pt>
                <c:pt idx="9">
                  <c:v>277.54449000000005</c:v>
                </c:pt>
                <c:pt idx="10">
                  <c:v>249.39391000000001</c:v>
                </c:pt>
                <c:pt idx="11">
                  <c:v>211.21348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1-4240-884F-5E54A4072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899023"/>
        <c:axId val="187759631"/>
      </c:barChart>
      <c:catAx>
        <c:axId val="9089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187759631"/>
        <c:crosses val="autoZero"/>
        <c:auto val="1"/>
        <c:lblAlgn val="ctr"/>
        <c:lblOffset val="100"/>
        <c:noMultiLvlLbl val="0"/>
      </c:catAx>
      <c:valAx>
        <c:axId val="18775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/>
                  <a:t>Averaged Cost</a:t>
                </a:r>
                <a:r>
                  <a:rPr lang="en-GB" sz="1400" baseline="0"/>
                  <a:t> in kGBP</a:t>
                </a:r>
                <a:endParaRPr lang="en-GB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N"/>
          </a:p>
        </c:txPr>
        <c:crossAx val="90899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539750</xdr:colOff>
      <xdr:row>19</xdr:row>
      <xdr:rowOff>133350</xdr:rowOff>
    </xdr:from>
    <xdr:to>
      <xdr:col>14</xdr:col>
      <xdr:colOff>444500</xdr:colOff>
      <xdr:row>37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A2FE83-A286-1D4B-8C09-5DA04CE671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19</xdr:row>
      <xdr:rowOff>101600</xdr:rowOff>
    </xdr:from>
    <xdr:to>
      <xdr:col>5</xdr:col>
      <xdr:colOff>692150</xdr:colOff>
      <xdr:row>37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74A73-83F9-C442-AD7F-36DAD82B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92AD-3FBA-6C40-9944-99B42E086931}">
  <dimension ref="A1:B6"/>
  <sheetViews>
    <sheetView workbookViewId="0">
      <selection activeCell="A7" sqref="A7"/>
    </sheetView>
  </sheetViews>
  <sheetFormatPr baseColWidth="10" defaultRowHeight="15" x14ac:dyDescent="0.2"/>
  <sheetData>
    <row r="1" spans="1:2" x14ac:dyDescent="0.2">
      <c r="A1" s="6"/>
      <c r="B1" t="s">
        <v>23</v>
      </c>
    </row>
    <row r="2" spans="1:2" x14ac:dyDescent="0.2">
      <c r="A2" s="10"/>
      <c r="B2" t="s">
        <v>24</v>
      </c>
    </row>
    <row r="6" spans="1:2" x14ac:dyDescent="0.2">
      <c r="A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ECF66-41E7-D44A-A2A9-B3AF285D10EB}">
  <sheetPr>
    <tabColor theme="3"/>
  </sheetPr>
  <dimension ref="A1:M16"/>
  <sheetViews>
    <sheetView tabSelected="1" workbookViewId="0">
      <selection activeCell="L14" sqref="L14"/>
    </sheetView>
  </sheetViews>
  <sheetFormatPr baseColWidth="10" defaultRowHeight="15" x14ac:dyDescent="0.2"/>
  <cols>
    <col min="1" max="1" width="18.5" bestFit="1" customWidth="1"/>
    <col min="2" max="2" width="20.33203125" bestFit="1" customWidth="1"/>
    <col min="3" max="3" width="18" bestFit="1" customWidth="1"/>
    <col min="5" max="5" width="9.33203125" bestFit="1" customWidth="1"/>
    <col min="6" max="6" width="8.6640625" bestFit="1" customWidth="1"/>
    <col min="9" max="9" width="8" bestFit="1" customWidth="1"/>
    <col min="10" max="10" width="10.1640625" bestFit="1" customWidth="1"/>
    <col min="12" max="12" width="14" customWidth="1"/>
  </cols>
  <sheetData>
    <row r="1" spans="1:13" ht="19" x14ac:dyDescent="0.25">
      <c r="A1" s="15" t="s">
        <v>16</v>
      </c>
    </row>
    <row r="2" spans="1:13" x14ac:dyDescent="0.2">
      <c r="B2" t="s">
        <v>18</v>
      </c>
      <c r="C2" t="s">
        <v>18</v>
      </c>
      <c r="E2" t="s">
        <v>18</v>
      </c>
      <c r="F2" t="s">
        <v>18</v>
      </c>
      <c r="I2" t="s">
        <v>18</v>
      </c>
      <c r="J2" t="s">
        <v>18</v>
      </c>
      <c r="L2" t="s">
        <v>25</v>
      </c>
    </row>
    <row r="3" spans="1:13" x14ac:dyDescent="0.2">
      <c r="A3" s="1" t="s">
        <v>0</v>
      </c>
      <c r="B3" s="1" t="s">
        <v>1</v>
      </c>
      <c r="C3" s="1" t="s">
        <v>2</v>
      </c>
      <c r="E3" s="1" t="s">
        <v>0</v>
      </c>
      <c r="F3" s="7" t="s">
        <v>19</v>
      </c>
      <c r="H3" s="1" t="s">
        <v>0</v>
      </c>
      <c r="I3" s="8" t="s">
        <v>27</v>
      </c>
      <c r="J3" s="8" t="s">
        <v>20</v>
      </c>
      <c r="L3" s="11" t="s">
        <v>21</v>
      </c>
      <c r="M3" s="11" t="s">
        <v>22</v>
      </c>
    </row>
    <row r="4" spans="1:13" x14ac:dyDescent="0.2">
      <c r="A4" t="s">
        <v>3</v>
      </c>
      <c r="B4">
        <f>'2013'!B2+'2014'!B2+'2015'!B2+'2016'!B2+'2017'!B2+'2018'!B2+'2019'!B2+'2020'!B2+'2021'!B2+'2022'!B2+'2023'!B2</f>
        <v>3011413</v>
      </c>
      <c r="C4">
        <f>'2013'!C2+'2014'!C2+'2015'!C2+'2016'!C2+'2017'!C2+'2018'!C2+'2019'!C2+'2020'!C2+'2021'!C2+'2022'!C2+'2023'!C2</f>
        <v>382838.29999999993</v>
      </c>
      <c r="E4" t="s">
        <v>3</v>
      </c>
      <c r="F4" s="9">
        <f t="shared" ref="F4:F15" si="0">B4/1000</f>
        <v>3011.413</v>
      </c>
      <c r="H4" t="s">
        <v>3</v>
      </c>
      <c r="I4" s="9">
        <f t="shared" ref="I4:I16" si="1">C4/1000</f>
        <v>382.83829999999995</v>
      </c>
      <c r="J4">
        <f t="shared" ref="J4:J15" si="2">F4/1000</f>
        <v>3.0114130000000001</v>
      </c>
      <c r="L4" s="12">
        <f>I16/F16</f>
        <v>0.12758636050678623</v>
      </c>
      <c r="M4" s="12">
        <f>L4*1000</f>
        <v>127.58636050678624</v>
      </c>
    </row>
    <row r="5" spans="1:13" x14ac:dyDescent="0.2">
      <c r="A5" t="s">
        <v>4</v>
      </c>
      <c r="B5">
        <f>'2013'!B3+'2014'!B3+'2015'!B3+'2016'!B3+'2017'!B3+'2018'!B3+'2019'!B3+'2020'!B3+'2021'!B3+'2022'!B3+'2023'!B3</f>
        <v>2747769</v>
      </c>
      <c r="C5">
        <f>'2013'!C3+'2014'!C3+'2015'!C3+'2016'!C3+'2017'!C3+'2018'!C3+'2019'!C3+'2020'!C3+'2021'!C3+'2022'!C3+'2023'!C3</f>
        <v>349772.97999999992</v>
      </c>
      <c r="E5" t="s">
        <v>4</v>
      </c>
      <c r="F5" s="9">
        <f t="shared" si="0"/>
        <v>2747.7689999999998</v>
      </c>
      <c r="H5" t="s">
        <v>4</v>
      </c>
      <c r="I5" s="9">
        <f t="shared" si="1"/>
        <v>349.7729799999999</v>
      </c>
      <c r="J5">
        <f t="shared" si="2"/>
        <v>2.7477689999999999</v>
      </c>
    </row>
    <row r="6" spans="1:13" x14ac:dyDescent="0.2">
      <c r="A6" t="s">
        <v>5</v>
      </c>
      <c r="B6">
        <f>'2013'!B4+'2014'!B4+'2015'!B4+'2016'!B4+'2017'!B4+'2018'!B4+'2019'!B4+'2020'!B4+'2021'!B4+'2022'!B4+'2023'!B4</f>
        <v>2912471</v>
      </c>
      <c r="C6">
        <f>'2013'!C4+'2014'!C4+'2015'!C4+'2016'!C4+'2017'!C4+'2018'!C4+'2019'!C4+'2020'!C4+'2021'!C4+'2022'!C4+'2023'!C4</f>
        <v>370894.85</v>
      </c>
      <c r="E6" t="s">
        <v>5</v>
      </c>
      <c r="F6" s="9">
        <f t="shared" si="0"/>
        <v>2912.471</v>
      </c>
      <c r="H6" t="s">
        <v>5</v>
      </c>
      <c r="I6" s="9">
        <f t="shared" si="1"/>
        <v>370.89484999999996</v>
      </c>
      <c r="J6">
        <f t="shared" si="2"/>
        <v>2.912471</v>
      </c>
      <c r="L6" s="9">
        <f>AVERAGE(I4:I15)</f>
        <v>286.98144666666661</v>
      </c>
    </row>
    <row r="7" spans="1:13" x14ac:dyDescent="0.2">
      <c r="A7" t="s">
        <v>6</v>
      </c>
      <c r="B7">
        <f>'2013'!B5+'2014'!B5+'2015'!B5+'2016'!B5+'2017'!B5+'2018'!B5+'2019'!B5+'2020'!B5+'2021'!B5+'2022'!B5+'2023'!B5</f>
        <v>2721480</v>
      </c>
      <c r="C7">
        <f>'2013'!C5+'2014'!C5+'2015'!C5+'2016'!C5+'2017'!C5+'2018'!C5+'2019'!C5+'2020'!C5+'2021'!C5+'2022'!C5+'2023'!C5</f>
        <v>346032.80999999994</v>
      </c>
      <c r="E7" t="s">
        <v>6</v>
      </c>
      <c r="F7" s="9">
        <f t="shared" si="0"/>
        <v>2721.48</v>
      </c>
      <c r="H7" t="s">
        <v>6</v>
      </c>
      <c r="I7" s="9">
        <f t="shared" si="1"/>
        <v>346.03280999999993</v>
      </c>
      <c r="J7">
        <f t="shared" si="2"/>
        <v>2.7214800000000001</v>
      </c>
    </row>
    <row r="8" spans="1:13" x14ac:dyDescent="0.2">
      <c r="A8" t="s">
        <v>7</v>
      </c>
      <c r="B8">
        <f>'2013'!B6+'2014'!B6+'2015'!B6+'2016'!B6+'2017'!B6+'2018'!B6+'2019'!B6+'2020'!B6+'2021'!B6+'2022'!B6+'2023'!B6</f>
        <v>2027406</v>
      </c>
      <c r="C8">
        <f>'2013'!C6+'2014'!C6+'2015'!C6+'2016'!C6+'2017'!C6+'2018'!C6+'2019'!C6+'2020'!C6+'2021'!C6+'2022'!C6+'2023'!C6</f>
        <v>261802.33</v>
      </c>
      <c r="E8" t="s">
        <v>7</v>
      </c>
      <c r="F8" s="9">
        <f t="shared" si="0"/>
        <v>2027.4059999999999</v>
      </c>
      <c r="H8" t="s">
        <v>7</v>
      </c>
      <c r="I8" s="9">
        <f t="shared" si="1"/>
        <v>261.80232999999998</v>
      </c>
      <c r="J8">
        <f t="shared" si="2"/>
        <v>2.027406</v>
      </c>
    </row>
    <row r="9" spans="1:13" x14ac:dyDescent="0.2">
      <c r="A9" t="s">
        <v>8</v>
      </c>
      <c r="B9">
        <f>'2013'!B7+'2014'!B7+'2015'!B7+'2016'!B7+'2017'!B7+'2018'!B7+'2019'!B7+'2020'!B7+'2021'!B7+'2022'!B7+'2023'!B7</f>
        <v>1745310</v>
      </c>
      <c r="C9">
        <f>'2013'!C7+'2014'!C7+'2015'!C7+'2016'!C7+'2017'!C7+'2018'!C7+'2019'!C7+'2020'!C7+'2021'!C7+'2022'!C7+'2023'!C7</f>
        <v>226146.05</v>
      </c>
      <c r="E9" t="s">
        <v>8</v>
      </c>
      <c r="F9" s="9">
        <f t="shared" si="0"/>
        <v>1745.31</v>
      </c>
      <c r="H9" t="s">
        <v>8</v>
      </c>
      <c r="I9" s="9">
        <f t="shared" si="1"/>
        <v>226.14605</v>
      </c>
      <c r="J9">
        <f t="shared" si="2"/>
        <v>1.7453099999999999</v>
      </c>
    </row>
    <row r="10" spans="1:13" x14ac:dyDescent="0.2">
      <c r="A10" t="s">
        <v>9</v>
      </c>
      <c r="B10">
        <f>'2013'!B8+'2014'!B8+'2015'!B8+'2016'!B8+'2017'!B8+'2018'!B8+'2019'!B8+'2020'!B8+'2021'!B8+'2022'!B8+'2023'!B8</f>
        <v>1925164</v>
      </c>
      <c r="C10">
        <f>'2013'!C8+'2014'!C8+'2015'!C8+'2016'!C8+'2017'!C8+'2018'!C8+'2019'!C8+'2020'!C8+'2021'!C8+'2022'!C8+'2023'!C8</f>
        <v>249111.94</v>
      </c>
      <c r="E10" t="s">
        <v>9</v>
      </c>
      <c r="F10" s="9">
        <f t="shared" si="0"/>
        <v>1925.164</v>
      </c>
      <c r="H10" t="s">
        <v>9</v>
      </c>
      <c r="I10" s="9">
        <f t="shared" si="1"/>
        <v>249.11194</v>
      </c>
      <c r="J10">
        <f t="shared" si="2"/>
        <v>1.9251640000000001</v>
      </c>
    </row>
    <row r="11" spans="1:13" x14ac:dyDescent="0.2">
      <c r="A11" t="s">
        <v>10</v>
      </c>
      <c r="B11">
        <f>'2013'!B9+'2014'!B9+'2015'!B9+'2016'!B9+'2017'!B9+'2018'!B9+'2019'!B9+'2020'!B9+'2021'!B9+'2022'!B9+'2023'!B9</f>
        <v>2061338</v>
      </c>
      <c r="C11">
        <f>'2013'!C9+'2014'!C9+'2015'!C9+'2016'!C9+'2017'!C9+'2018'!C9+'2019'!C9+'2020'!C9+'2021'!C9+'2022'!C9+'2023'!C9</f>
        <v>264603.14999999997</v>
      </c>
      <c r="E11" t="s">
        <v>10</v>
      </c>
      <c r="F11" s="9">
        <f t="shared" si="0"/>
        <v>2061.3380000000002</v>
      </c>
      <c r="H11" t="s">
        <v>10</v>
      </c>
      <c r="I11" s="9">
        <f t="shared" si="1"/>
        <v>264.60314999999997</v>
      </c>
      <c r="J11">
        <f t="shared" si="2"/>
        <v>2.0613380000000001</v>
      </c>
    </row>
    <row r="12" spans="1:13" x14ac:dyDescent="0.2">
      <c r="A12" t="s">
        <v>11</v>
      </c>
      <c r="B12">
        <f>'2013'!B10+'2014'!B10+'2015'!B10+'2016'!B10+'2017'!B10+'2018'!B10+'2019'!B10+'2020'!B10+'2021'!B10+'2022'!B10+'2023'!B10</f>
        <v>1970930</v>
      </c>
      <c r="C12">
        <f>'2013'!C10+'2014'!C10+'2015'!C10+'2016'!C10+'2017'!C10+'2018'!C10+'2019'!C10+'2020'!C10+'2021'!C10+'2022'!C10+'2023'!C10</f>
        <v>254423.07000000004</v>
      </c>
      <c r="E12" t="s">
        <v>11</v>
      </c>
      <c r="F12" s="9">
        <f t="shared" si="0"/>
        <v>1970.93</v>
      </c>
      <c r="H12" t="s">
        <v>11</v>
      </c>
      <c r="I12" s="9">
        <f t="shared" si="1"/>
        <v>254.42307000000002</v>
      </c>
      <c r="J12">
        <f t="shared" si="2"/>
        <v>1.9709300000000001</v>
      </c>
    </row>
    <row r="13" spans="1:13" x14ac:dyDescent="0.2">
      <c r="A13" t="s">
        <v>12</v>
      </c>
      <c r="B13">
        <f>'2013'!B11+'2014'!B11+'2015'!B11+'2016'!B11+'2017'!B11+'2018'!B11+'2019'!B11+'2020'!B11+'2021'!B11+'2022'!B11+'2023'!B11</f>
        <v>2159092</v>
      </c>
      <c r="C13">
        <f>'2013'!C11+'2014'!C11+'2015'!C11+'2016'!C11+'2017'!C11+'2018'!C11+'2019'!C11+'2020'!C11+'2021'!C11+'2022'!C11+'2023'!C11</f>
        <v>277544.49000000005</v>
      </c>
      <c r="E13" t="s">
        <v>12</v>
      </c>
      <c r="F13" s="9">
        <f t="shared" si="0"/>
        <v>2159.0920000000001</v>
      </c>
      <c r="H13" t="s">
        <v>12</v>
      </c>
      <c r="I13" s="9">
        <f t="shared" si="1"/>
        <v>277.54449000000005</v>
      </c>
      <c r="J13">
        <f t="shared" si="2"/>
        <v>2.1590920000000002</v>
      </c>
    </row>
    <row r="14" spans="1:13" x14ac:dyDescent="0.2">
      <c r="A14" t="s">
        <v>13</v>
      </c>
      <c r="B14">
        <f>'2013'!B12+'2014'!B12+'2015'!B12+'2016'!B12+'2017'!B12+'2018'!B12+'2019'!B12+'2020'!B12+'2021'!B12+'2022'!B12+'2023'!B12</f>
        <v>2061325</v>
      </c>
      <c r="C14">
        <f>'2013'!C12+'2014'!C12+'2015'!C12+'2016'!C12+'2017'!C12+'2018'!C12+'2019'!C12+'2020'!C12+'2021'!C12+'2022'!C12+'2023'!C12</f>
        <v>249393.91</v>
      </c>
      <c r="E14" t="s">
        <v>13</v>
      </c>
      <c r="F14" s="9">
        <f t="shared" si="0"/>
        <v>2061.3249999999998</v>
      </c>
      <c r="H14" t="s">
        <v>13</v>
      </c>
      <c r="I14" s="9">
        <f t="shared" si="1"/>
        <v>249.39391000000001</v>
      </c>
      <c r="J14">
        <f t="shared" si="2"/>
        <v>2.0613249999999996</v>
      </c>
    </row>
    <row r="15" spans="1:13" x14ac:dyDescent="0.2">
      <c r="A15" t="s">
        <v>14</v>
      </c>
      <c r="B15">
        <f>'2013'!B13+'2014'!B13+'2015'!B13+'2016'!B13+'2017'!B13+'2018'!B13+'2019'!B13+'2020'!B13+'2021'!B13+'2022'!B13+'2023'!B13</f>
        <v>1648038</v>
      </c>
      <c r="C15">
        <f>'2013'!C13+'2014'!C13+'2015'!C13+'2016'!C13+'2017'!C13+'2018'!C13+'2019'!C13+'2020'!C13+'2021'!C13+'2022'!C13+'2023'!C13</f>
        <v>211213.48</v>
      </c>
      <c r="E15" t="s">
        <v>14</v>
      </c>
      <c r="F15" s="9">
        <f t="shared" si="0"/>
        <v>1648.038</v>
      </c>
      <c r="H15" t="s">
        <v>14</v>
      </c>
      <c r="I15" s="9">
        <f t="shared" si="1"/>
        <v>211.21348</v>
      </c>
      <c r="J15">
        <f t="shared" si="2"/>
        <v>1.6480380000000001</v>
      </c>
    </row>
    <row r="16" spans="1:13" x14ac:dyDescent="0.2">
      <c r="A16" s="13" t="s">
        <v>17</v>
      </c>
      <c r="B16" s="13">
        <f>SUM(B4:B15)</f>
        <v>26991736</v>
      </c>
      <c r="C16" s="13">
        <f>SUM(C4:C15)</f>
        <v>3443777.3600000003</v>
      </c>
      <c r="D16" s="13"/>
      <c r="E16" s="13"/>
      <c r="F16" s="14">
        <f>SUM(F4:F15)</f>
        <v>26991.736000000001</v>
      </c>
      <c r="G16" s="13"/>
      <c r="H16" s="13"/>
      <c r="I16" s="14">
        <f t="shared" si="1"/>
        <v>3443.7773600000005</v>
      </c>
      <c r="J16" s="13">
        <f>SUM(J4:J15)</f>
        <v>26.991735999999996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C14"/>
  <sheetViews>
    <sheetView workbookViewId="0">
      <selection activeCell="D32" sqref="D32"/>
    </sheetView>
  </sheetViews>
  <sheetFormatPr baseColWidth="10" defaultColWidth="8.83203125" defaultRowHeight="15" x14ac:dyDescent="0.2"/>
  <cols>
    <col min="2" max="2" width="20.1640625" customWidth="1"/>
    <col min="3" max="3" width="13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504535</v>
      </c>
      <c r="C2">
        <v>63863.87</v>
      </c>
    </row>
    <row r="3" spans="1:3" x14ac:dyDescent="0.2">
      <c r="A3" t="s">
        <v>4</v>
      </c>
      <c r="B3">
        <v>374960</v>
      </c>
      <c r="C3">
        <v>47617.2</v>
      </c>
    </row>
    <row r="4" spans="1:3" x14ac:dyDescent="0.2">
      <c r="A4" t="s">
        <v>5</v>
      </c>
      <c r="B4">
        <v>353068</v>
      </c>
      <c r="C4">
        <v>44843</v>
      </c>
    </row>
    <row r="5" spans="1:3" x14ac:dyDescent="0.2">
      <c r="A5" t="s">
        <v>6</v>
      </c>
      <c r="B5">
        <v>375548</v>
      </c>
      <c r="C5">
        <v>47644</v>
      </c>
    </row>
    <row r="6" spans="1:3" x14ac:dyDescent="0.2">
      <c r="A6" t="s">
        <v>7</v>
      </c>
      <c r="B6">
        <v>275285</v>
      </c>
      <c r="C6">
        <v>35071</v>
      </c>
    </row>
    <row r="7" spans="1:3" x14ac:dyDescent="0.2">
      <c r="A7" t="s">
        <v>8</v>
      </c>
      <c r="B7">
        <v>274875</v>
      </c>
      <c r="C7">
        <v>34950</v>
      </c>
    </row>
    <row r="8" spans="1:3" x14ac:dyDescent="0.2">
      <c r="A8" t="s">
        <v>9</v>
      </c>
      <c r="B8">
        <v>308191</v>
      </c>
      <c r="C8">
        <v>39215</v>
      </c>
    </row>
    <row r="9" spans="1:3" x14ac:dyDescent="0.2">
      <c r="A9" t="s">
        <v>10</v>
      </c>
      <c r="B9">
        <v>300769</v>
      </c>
      <c r="C9">
        <v>38222</v>
      </c>
    </row>
    <row r="10" spans="1:3" x14ac:dyDescent="0.2">
      <c r="A10" t="s">
        <v>11</v>
      </c>
      <c r="B10">
        <v>313003</v>
      </c>
      <c r="C10">
        <v>39794.61</v>
      </c>
    </row>
    <row r="11" spans="1:3" x14ac:dyDescent="0.2">
      <c r="A11" t="s">
        <v>12</v>
      </c>
      <c r="B11">
        <v>279010</v>
      </c>
      <c r="C11">
        <v>35498.15</v>
      </c>
    </row>
    <row r="12" spans="1:3" x14ac:dyDescent="0.2">
      <c r="A12" t="s">
        <v>13</v>
      </c>
      <c r="B12">
        <v>362651</v>
      </c>
      <c r="C12">
        <v>46066.720000000001</v>
      </c>
    </row>
    <row r="13" spans="1:3" x14ac:dyDescent="0.2">
      <c r="A13" t="s">
        <v>14</v>
      </c>
      <c r="B13">
        <v>360822</v>
      </c>
      <c r="C13">
        <v>45863.16</v>
      </c>
    </row>
    <row r="14" spans="1:3" x14ac:dyDescent="0.2">
      <c r="A14" t="s">
        <v>15</v>
      </c>
      <c r="B14">
        <v>4082717</v>
      </c>
      <c r="C14">
        <v>518648.5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422281</v>
      </c>
      <c r="C2">
        <v>53639.27</v>
      </c>
    </row>
    <row r="3" spans="1:3" x14ac:dyDescent="0.2">
      <c r="A3" t="s">
        <v>4</v>
      </c>
      <c r="B3">
        <v>391344</v>
      </c>
      <c r="C3">
        <v>49639.98</v>
      </c>
    </row>
    <row r="4" spans="1:3" x14ac:dyDescent="0.2">
      <c r="A4" t="s">
        <v>5</v>
      </c>
      <c r="B4">
        <v>230119</v>
      </c>
      <c r="C4">
        <v>29184.15</v>
      </c>
    </row>
    <row r="5" spans="1:3" x14ac:dyDescent="0.2">
      <c r="A5" t="s">
        <v>6</v>
      </c>
      <c r="B5">
        <v>427690</v>
      </c>
      <c r="C5">
        <v>54145.7</v>
      </c>
    </row>
    <row r="6" spans="1:3" x14ac:dyDescent="0.2">
      <c r="A6" t="s">
        <v>7</v>
      </c>
      <c r="B6">
        <v>237161</v>
      </c>
      <c r="C6">
        <v>30108.13</v>
      </c>
    </row>
    <row r="7" spans="1:3" x14ac:dyDescent="0.2">
      <c r="A7" t="s">
        <v>8</v>
      </c>
      <c r="B7">
        <v>142111</v>
      </c>
      <c r="C7">
        <v>18067.72</v>
      </c>
    </row>
    <row r="8" spans="1:3" x14ac:dyDescent="0.2">
      <c r="A8" t="s">
        <v>9</v>
      </c>
      <c r="B8">
        <v>218169</v>
      </c>
      <c r="C8">
        <v>27604.06</v>
      </c>
    </row>
    <row r="9" spans="1:3" x14ac:dyDescent="0.2">
      <c r="A9" t="s">
        <v>10</v>
      </c>
      <c r="B9">
        <v>215730</v>
      </c>
      <c r="C9">
        <v>27365.1</v>
      </c>
    </row>
    <row r="10" spans="1:3" x14ac:dyDescent="0.2">
      <c r="A10" t="s">
        <v>11</v>
      </c>
      <c r="B10">
        <v>182272</v>
      </c>
      <c r="C10">
        <v>23096.45</v>
      </c>
    </row>
    <row r="11" spans="1:3" x14ac:dyDescent="0.2">
      <c r="A11" t="s">
        <v>12</v>
      </c>
      <c r="B11">
        <v>215108</v>
      </c>
      <c r="C11">
        <v>27349.8</v>
      </c>
    </row>
    <row r="12" spans="1:3" x14ac:dyDescent="0.2">
      <c r="A12" t="s">
        <v>13</v>
      </c>
      <c r="B12">
        <v>95418</v>
      </c>
      <c r="C12">
        <v>12175.42</v>
      </c>
    </row>
    <row r="13" spans="1:3" x14ac:dyDescent="0.2">
      <c r="A13" t="s">
        <v>14</v>
      </c>
      <c r="B13">
        <v>210129</v>
      </c>
      <c r="C13">
        <v>26662.33</v>
      </c>
    </row>
    <row r="14" spans="1:3" x14ac:dyDescent="0.2">
      <c r="A14" t="s">
        <v>15</v>
      </c>
      <c r="B14">
        <v>2987532</v>
      </c>
      <c r="C14">
        <v>379038.11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0</v>
      </c>
      <c r="C2">
        <v>0</v>
      </c>
    </row>
    <row r="3" spans="1:3" x14ac:dyDescent="0.2">
      <c r="A3" t="s">
        <v>4</v>
      </c>
      <c r="B3">
        <v>465101</v>
      </c>
      <c r="C3">
        <v>58590.16</v>
      </c>
    </row>
    <row r="4" spans="1:3" x14ac:dyDescent="0.2">
      <c r="A4" t="s">
        <v>5</v>
      </c>
      <c r="B4">
        <v>332166</v>
      </c>
      <c r="C4">
        <v>42170.95</v>
      </c>
    </row>
    <row r="5" spans="1:3" x14ac:dyDescent="0.2">
      <c r="A5" t="s">
        <v>6</v>
      </c>
      <c r="B5">
        <v>220557</v>
      </c>
      <c r="C5">
        <v>27984.15</v>
      </c>
    </row>
    <row r="6" spans="1:3" x14ac:dyDescent="0.2">
      <c r="A6" t="s">
        <v>7</v>
      </c>
      <c r="B6">
        <v>168502</v>
      </c>
      <c r="C6">
        <v>21363.05</v>
      </c>
    </row>
    <row r="7" spans="1:3" x14ac:dyDescent="0.2">
      <c r="A7" t="s">
        <v>8</v>
      </c>
      <c r="B7">
        <v>249783</v>
      </c>
      <c r="C7">
        <v>31706.1</v>
      </c>
    </row>
    <row r="8" spans="1:3" x14ac:dyDescent="0.2">
      <c r="A8" t="s">
        <v>9</v>
      </c>
      <c r="B8">
        <v>125919</v>
      </c>
      <c r="C8">
        <v>16013.15</v>
      </c>
    </row>
    <row r="9" spans="1:3" x14ac:dyDescent="0.2">
      <c r="A9" t="s">
        <v>10</v>
      </c>
      <c r="B9">
        <v>172926</v>
      </c>
      <c r="C9">
        <v>21972</v>
      </c>
    </row>
    <row r="10" spans="1:3" x14ac:dyDescent="0.2">
      <c r="A10" t="s">
        <v>11</v>
      </c>
      <c r="B10">
        <v>315400</v>
      </c>
      <c r="C10">
        <v>39896.28</v>
      </c>
    </row>
    <row r="11" spans="1:3" x14ac:dyDescent="0.2">
      <c r="A11" t="s">
        <v>12</v>
      </c>
      <c r="B11">
        <v>567989</v>
      </c>
      <c r="C11">
        <v>72712.92</v>
      </c>
    </row>
    <row r="12" spans="1:3" x14ac:dyDescent="0.2">
      <c r="A12" t="s">
        <v>13</v>
      </c>
      <c r="B12">
        <v>374869</v>
      </c>
      <c r="C12">
        <v>47475.49</v>
      </c>
    </row>
    <row r="13" spans="1:3" x14ac:dyDescent="0.2">
      <c r="A13" t="s">
        <v>14</v>
      </c>
      <c r="B13">
        <v>177483</v>
      </c>
      <c r="C13">
        <v>22548.98</v>
      </c>
    </row>
    <row r="14" spans="1:3" x14ac:dyDescent="0.2">
      <c r="A14" t="s">
        <v>15</v>
      </c>
      <c r="B14">
        <v>3170695</v>
      </c>
      <c r="C14">
        <v>402433.23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512949</v>
      </c>
      <c r="C2">
        <v>64822.23</v>
      </c>
    </row>
    <row r="3" spans="1:3" x14ac:dyDescent="0.2">
      <c r="A3" t="s">
        <v>4</v>
      </c>
      <c r="B3">
        <v>158662</v>
      </c>
      <c r="C3">
        <v>20344.54</v>
      </c>
    </row>
    <row r="4" spans="1:3" x14ac:dyDescent="0.2">
      <c r="A4" t="s">
        <v>5</v>
      </c>
      <c r="B4">
        <v>354246</v>
      </c>
      <c r="C4">
        <v>44912.95</v>
      </c>
    </row>
    <row r="5" spans="1:3" x14ac:dyDescent="0.2">
      <c r="A5" t="s">
        <v>6</v>
      </c>
      <c r="B5">
        <v>285445</v>
      </c>
      <c r="C5">
        <v>36170.339999999997</v>
      </c>
    </row>
    <row r="6" spans="1:3" x14ac:dyDescent="0.2">
      <c r="A6" t="s">
        <v>7</v>
      </c>
      <c r="B6">
        <v>259456</v>
      </c>
      <c r="C6">
        <v>32922.42</v>
      </c>
    </row>
    <row r="7" spans="1:3" x14ac:dyDescent="0.2">
      <c r="A7" t="s">
        <v>8</v>
      </c>
      <c r="B7">
        <v>218997</v>
      </c>
      <c r="C7">
        <v>27852.89</v>
      </c>
    </row>
    <row r="8" spans="1:3" x14ac:dyDescent="0.2">
      <c r="A8" t="s">
        <v>9</v>
      </c>
      <c r="B8">
        <v>293603</v>
      </c>
      <c r="C8">
        <v>37250.32</v>
      </c>
    </row>
    <row r="9" spans="1:3" x14ac:dyDescent="0.2">
      <c r="A9" t="s">
        <v>10</v>
      </c>
      <c r="B9">
        <v>394920</v>
      </c>
      <c r="C9">
        <v>49871.59</v>
      </c>
    </row>
    <row r="10" spans="1:3" x14ac:dyDescent="0.2">
      <c r="A10" t="s">
        <v>11</v>
      </c>
      <c r="B10">
        <v>263672</v>
      </c>
      <c r="C10">
        <v>33459.980000000003</v>
      </c>
    </row>
    <row r="11" spans="1:3" x14ac:dyDescent="0.2">
      <c r="A11" t="s">
        <v>12</v>
      </c>
      <c r="B11">
        <v>263277</v>
      </c>
      <c r="C11">
        <v>33390.629999999997</v>
      </c>
    </row>
    <row r="12" spans="1:3" x14ac:dyDescent="0.2">
      <c r="A12" t="s">
        <v>13</v>
      </c>
      <c r="B12">
        <v>294415</v>
      </c>
      <c r="C12">
        <v>37268</v>
      </c>
    </row>
    <row r="13" spans="1:3" x14ac:dyDescent="0.2">
      <c r="A13" t="s">
        <v>14</v>
      </c>
      <c r="B13">
        <v>356662</v>
      </c>
      <c r="C13">
        <v>45079.64</v>
      </c>
    </row>
    <row r="14" spans="1:3" x14ac:dyDescent="0.2">
      <c r="A14" t="s">
        <v>15</v>
      </c>
      <c r="B14">
        <v>3656304</v>
      </c>
      <c r="C14">
        <v>463345.53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323919</v>
      </c>
      <c r="C2">
        <v>41144.980000000003</v>
      </c>
    </row>
    <row r="3" spans="1:3" x14ac:dyDescent="0.2">
      <c r="A3" t="s">
        <v>4</v>
      </c>
      <c r="B3">
        <v>345674</v>
      </c>
      <c r="C3">
        <v>43719.78</v>
      </c>
    </row>
    <row r="4" spans="1:3" x14ac:dyDescent="0.2">
      <c r="A4" t="s">
        <v>5</v>
      </c>
      <c r="B4">
        <v>281359</v>
      </c>
      <c r="C4">
        <v>35593.339999999997</v>
      </c>
    </row>
    <row r="5" spans="1:3" x14ac:dyDescent="0.2">
      <c r="A5" t="s">
        <v>6</v>
      </c>
      <c r="B5">
        <v>274930</v>
      </c>
      <c r="C5">
        <v>34733.14</v>
      </c>
    </row>
    <row r="6" spans="1:3" x14ac:dyDescent="0.2">
      <c r="A6" t="s">
        <v>7</v>
      </c>
      <c r="B6">
        <v>257600</v>
      </c>
      <c r="C6">
        <v>32564</v>
      </c>
    </row>
    <row r="7" spans="1:3" x14ac:dyDescent="0.2">
      <c r="A7" t="s">
        <v>8</v>
      </c>
      <c r="B7">
        <v>228205</v>
      </c>
      <c r="C7">
        <v>28850.26</v>
      </c>
    </row>
    <row r="8" spans="1:3" x14ac:dyDescent="0.2">
      <c r="A8" t="s">
        <v>9</v>
      </c>
      <c r="B8">
        <v>229221</v>
      </c>
      <c r="C8">
        <v>28966.32</v>
      </c>
    </row>
    <row r="9" spans="1:3" x14ac:dyDescent="0.2">
      <c r="A9" t="s">
        <v>10</v>
      </c>
      <c r="B9">
        <v>231789</v>
      </c>
      <c r="C9">
        <v>29297.59</v>
      </c>
    </row>
    <row r="10" spans="1:3" x14ac:dyDescent="0.2">
      <c r="A10" t="s">
        <v>11</v>
      </c>
      <c r="B10">
        <v>275019</v>
      </c>
      <c r="C10">
        <v>34732.35</v>
      </c>
    </row>
    <row r="11" spans="1:3" x14ac:dyDescent="0.2">
      <c r="A11" t="s">
        <v>12</v>
      </c>
      <c r="B11">
        <v>250520</v>
      </c>
      <c r="C11">
        <v>31646.29</v>
      </c>
    </row>
    <row r="12" spans="1:3" x14ac:dyDescent="0.2">
      <c r="A12" t="s">
        <v>13</v>
      </c>
      <c r="B12">
        <v>236518</v>
      </c>
      <c r="C12">
        <v>29883.08</v>
      </c>
    </row>
    <row r="13" spans="1:3" x14ac:dyDescent="0.2">
      <c r="A13" t="s">
        <v>14</v>
      </c>
    </row>
    <row r="14" spans="1:3" x14ac:dyDescent="0.2">
      <c r="A14" t="s">
        <v>15</v>
      </c>
      <c r="B14">
        <v>2698236</v>
      </c>
      <c r="C14">
        <v>341248.05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326767</v>
      </c>
      <c r="C2">
        <v>41253.199999999997</v>
      </c>
    </row>
    <row r="3" spans="1:3" x14ac:dyDescent="0.2">
      <c r="A3" t="s">
        <v>4</v>
      </c>
      <c r="B3">
        <v>357002</v>
      </c>
      <c r="C3">
        <v>45090.7</v>
      </c>
    </row>
    <row r="4" spans="1:3" x14ac:dyDescent="0.2">
      <c r="A4" t="s">
        <v>5</v>
      </c>
      <c r="B4">
        <v>281732</v>
      </c>
      <c r="C4">
        <v>35621.919999999998</v>
      </c>
    </row>
    <row r="5" spans="1:3" x14ac:dyDescent="0.2">
      <c r="A5" t="s">
        <v>6</v>
      </c>
      <c r="B5">
        <v>316018</v>
      </c>
      <c r="C5">
        <v>39906.089999999997</v>
      </c>
    </row>
    <row r="6" spans="1:3" x14ac:dyDescent="0.2">
      <c r="A6" t="s">
        <v>7</v>
      </c>
      <c r="B6">
        <v>188937</v>
      </c>
      <c r="C6">
        <v>23947.83</v>
      </c>
    </row>
    <row r="7" spans="1:3" x14ac:dyDescent="0.2">
      <c r="A7" t="s">
        <v>8</v>
      </c>
      <c r="B7">
        <v>197437</v>
      </c>
      <c r="C7">
        <v>24992.06</v>
      </c>
    </row>
    <row r="8" spans="1:3" x14ac:dyDescent="0.2">
      <c r="A8" t="s">
        <v>9</v>
      </c>
      <c r="B8">
        <v>171401</v>
      </c>
      <c r="C8">
        <v>21683</v>
      </c>
    </row>
    <row r="9" spans="1:3" x14ac:dyDescent="0.2">
      <c r="A9" t="s">
        <v>10</v>
      </c>
      <c r="B9">
        <v>241214</v>
      </c>
      <c r="C9">
        <v>30534.639999999999</v>
      </c>
    </row>
    <row r="10" spans="1:3" x14ac:dyDescent="0.2">
      <c r="A10" t="s">
        <v>11</v>
      </c>
      <c r="B10">
        <v>181624</v>
      </c>
      <c r="C10">
        <v>23005.38</v>
      </c>
    </row>
    <row r="11" spans="1:3" x14ac:dyDescent="0.2">
      <c r="A11" t="s">
        <v>12</v>
      </c>
      <c r="B11">
        <v>202559</v>
      </c>
      <c r="C11">
        <v>25630.71</v>
      </c>
    </row>
    <row r="12" spans="1:3" x14ac:dyDescent="0.2">
      <c r="A12" t="s">
        <v>13</v>
      </c>
      <c r="B12">
        <v>198542</v>
      </c>
      <c r="C12">
        <v>25156.79</v>
      </c>
    </row>
    <row r="13" spans="1:3" x14ac:dyDescent="0.2">
      <c r="A13" t="s">
        <v>14</v>
      </c>
      <c r="B13">
        <v>296049</v>
      </c>
      <c r="C13">
        <v>37366.57</v>
      </c>
    </row>
    <row r="14" spans="1:3" x14ac:dyDescent="0.2">
      <c r="A14" t="s">
        <v>15</v>
      </c>
      <c r="B14">
        <v>2959282</v>
      </c>
      <c r="C14">
        <v>374188.89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194264</v>
      </c>
      <c r="C2">
        <v>24642.25</v>
      </c>
    </row>
    <row r="3" spans="1:3" x14ac:dyDescent="0.2">
      <c r="A3" t="s">
        <v>4</v>
      </c>
      <c r="B3">
        <v>205957</v>
      </c>
      <c r="C3">
        <v>26095.22</v>
      </c>
    </row>
    <row r="4" spans="1:3" x14ac:dyDescent="0.2">
      <c r="A4" t="s">
        <v>5</v>
      </c>
      <c r="B4">
        <v>198912</v>
      </c>
      <c r="C4">
        <v>25202.639999999999</v>
      </c>
    </row>
    <row r="5" spans="1:3" x14ac:dyDescent="0.2">
      <c r="A5" t="s">
        <v>6</v>
      </c>
      <c r="B5">
        <v>160786</v>
      </c>
      <c r="C5">
        <v>20387.55</v>
      </c>
    </row>
    <row r="6" spans="1:3" x14ac:dyDescent="0.2">
      <c r="A6" t="s">
        <v>7</v>
      </c>
      <c r="B6">
        <v>198933</v>
      </c>
      <c r="C6">
        <v>25195.42</v>
      </c>
    </row>
    <row r="7" spans="1:3" x14ac:dyDescent="0.2">
      <c r="A7" t="s">
        <v>8</v>
      </c>
      <c r="B7">
        <v>174260</v>
      </c>
      <c r="C7">
        <v>21954.53</v>
      </c>
    </row>
    <row r="8" spans="1:3" x14ac:dyDescent="0.2">
      <c r="A8" t="s">
        <v>9</v>
      </c>
      <c r="B8">
        <v>175715</v>
      </c>
      <c r="C8">
        <v>22124.55</v>
      </c>
    </row>
    <row r="9" spans="1:3" x14ac:dyDescent="0.2">
      <c r="A9" t="s">
        <v>10</v>
      </c>
      <c r="B9">
        <v>214796</v>
      </c>
      <c r="C9">
        <v>27019.89</v>
      </c>
    </row>
    <row r="10" spans="1:3" x14ac:dyDescent="0.2">
      <c r="A10" t="s">
        <v>11</v>
      </c>
      <c r="B10">
        <v>154627</v>
      </c>
      <c r="C10">
        <v>19425.16</v>
      </c>
    </row>
    <row r="11" spans="1:3" x14ac:dyDescent="0.2">
      <c r="A11" t="s">
        <v>12</v>
      </c>
      <c r="B11">
        <v>185034</v>
      </c>
      <c r="C11">
        <v>23344.91</v>
      </c>
    </row>
    <row r="12" spans="1:3" x14ac:dyDescent="0.2">
      <c r="A12" t="s">
        <v>13</v>
      </c>
      <c r="B12">
        <v>187236</v>
      </c>
      <c r="C12">
        <v>23602.89</v>
      </c>
    </row>
    <row r="13" spans="1:3" x14ac:dyDescent="0.2">
      <c r="A13" t="s">
        <v>14</v>
      </c>
      <c r="B13">
        <v>182253</v>
      </c>
      <c r="C13">
        <v>22982.79</v>
      </c>
    </row>
    <row r="14" spans="1:3" x14ac:dyDescent="0.2">
      <c r="A14" t="s">
        <v>15</v>
      </c>
      <c r="B14">
        <v>2232773</v>
      </c>
      <c r="C14">
        <v>281977.8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14"/>
  <sheetViews>
    <sheetView workbookViewId="0">
      <selection activeCell="B1" sqref="B1:C14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5" t="s">
        <v>1</v>
      </c>
      <c r="C1" s="5" t="s">
        <v>2</v>
      </c>
    </row>
    <row r="2" spans="1:3" x14ac:dyDescent="0.2">
      <c r="A2" t="s">
        <v>3</v>
      </c>
      <c r="B2">
        <v>257373</v>
      </c>
      <c r="C2">
        <v>32508.69</v>
      </c>
    </row>
    <row r="3" spans="1:3" x14ac:dyDescent="0.2">
      <c r="A3" t="s">
        <v>4</v>
      </c>
      <c r="B3">
        <v>219702</v>
      </c>
      <c r="C3">
        <v>27776.12</v>
      </c>
    </row>
    <row r="4" spans="1:3" x14ac:dyDescent="0.2">
      <c r="A4" t="s">
        <v>5</v>
      </c>
      <c r="B4">
        <v>136081</v>
      </c>
      <c r="C4">
        <v>17236.37</v>
      </c>
    </row>
    <row r="5" spans="1:3" x14ac:dyDescent="0.2">
      <c r="A5" t="s">
        <v>6</v>
      </c>
      <c r="B5">
        <v>233918</v>
      </c>
      <c r="C5">
        <v>29509.45</v>
      </c>
    </row>
    <row r="6" spans="1:3" x14ac:dyDescent="0.2">
      <c r="A6" t="s">
        <v>7</v>
      </c>
      <c r="B6">
        <v>145623</v>
      </c>
      <c r="C6">
        <v>18435.349999999999</v>
      </c>
    </row>
    <row r="7" spans="1:3" x14ac:dyDescent="0.2">
      <c r="A7" t="s">
        <v>8</v>
      </c>
      <c r="B7">
        <v>90988</v>
      </c>
      <c r="C7">
        <v>11583.97</v>
      </c>
    </row>
    <row r="8" spans="1:3" x14ac:dyDescent="0.2">
      <c r="A8" t="s">
        <v>9</v>
      </c>
      <c r="B8">
        <v>214926</v>
      </c>
      <c r="C8">
        <v>27120.22</v>
      </c>
    </row>
    <row r="9" spans="1:3" x14ac:dyDescent="0.2">
      <c r="A9" t="s">
        <v>10</v>
      </c>
      <c r="B9">
        <v>180401</v>
      </c>
      <c r="C9">
        <v>22829.77</v>
      </c>
    </row>
    <row r="10" spans="1:3" x14ac:dyDescent="0.2">
      <c r="A10" t="s">
        <v>11</v>
      </c>
      <c r="B10">
        <v>179903</v>
      </c>
      <c r="C10">
        <v>22756.37</v>
      </c>
    </row>
    <row r="11" spans="1:3" x14ac:dyDescent="0.2">
      <c r="A11" t="s">
        <v>12</v>
      </c>
      <c r="B11">
        <v>115001</v>
      </c>
      <c r="C11">
        <v>14532.81</v>
      </c>
    </row>
    <row r="12" spans="1:3" x14ac:dyDescent="0.2">
      <c r="A12" t="s">
        <v>13</v>
      </c>
      <c r="B12">
        <v>107245</v>
      </c>
      <c r="C12">
        <v>13536.93</v>
      </c>
    </row>
    <row r="13" spans="1:3" x14ac:dyDescent="0.2">
      <c r="A13" t="s">
        <v>14</v>
      </c>
    </row>
    <row r="14" spans="1:3" x14ac:dyDescent="0.2">
      <c r="A14" t="s">
        <v>15</v>
      </c>
      <c r="B14">
        <v>1881161</v>
      </c>
      <c r="C14">
        <v>237826.1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243607</v>
      </c>
      <c r="C2">
        <v>30660.22</v>
      </c>
    </row>
    <row r="3" spans="1:3" x14ac:dyDescent="0.2">
      <c r="A3" t="s">
        <v>4</v>
      </c>
      <c r="B3">
        <v>62863</v>
      </c>
      <c r="C3">
        <v>7980.68</v>
      </c>
    </row>
    <row r="4" spans="1:3" x14ac:dyDescent="0.2">
      <c r="A4" t="s">
        <v>5</v>
      </c>
      <c r="B4">
        <v>571755</v>
      </c>
      <c r="C4">
        <v>73055.199999999997</v>
      </c>
    </row>
    <row r="5" spans="1:3" x14ac:dyDescent="0.2">
      <c r="A5" t="s">
        <v>6</v>
      </c>
      <c r="B5">
        <v>267539</v>
      </c>
      <c r="C5">
        <v>33818.410000000003</v>
      </c>
    </row>
    <row r="6" spans="1:3" x14ac:dyDescent="0.2">
      <c r="A6" t="s">
        <v>7</v>
      </c>
      <c r="B6">
        <v>143142</v>
      </c>
      <c r="C6">
        <v>18147.84</v>
      </c>
    </row>
    <row r="7" spans="1:3" x14ac:dyDescent="0.2">
      <c r="A7" t="s">
        <v>8</v>
      </c>
    </row>
    <row r="8" spans="1:3" x14ac:dyDescent="0.2">
      <c r="A8" t="s">
        <v>9</v>
      </c>
    </row>
    <row r="9" spans="1:3" x14ac:dyDescent="0.2">
      <c r="A9" t="s">
        <v>10</v>
      </c>
    </row>
    <row r="10" spans="1:3" x14ac:dyDescent="0.2">
      <c r="A10" t="s">
        <v>11</v>
      </c>
    </row>
    <row r="11" spans="1:3" x14ac:dyDescent="0.2">
      <c r="A11" t="s">
        <v>12</v>
      </c>
    </row>
    <row r="12" spans="1:3" x14ac:dyDescent="0.2">
      <c r="A12" t="s">
        <v>13</v>
      </c>
    </row>
    <row r="13" spans="1:3" x14ac:dyDescent="0.2">
      <c r="A13" t="s">
        <v>14</v>
      </c>
    </row>
    <row r="14" spans="1:3" x14ac:dyDescent="0.2">
      <c r="A14" t="s">
        <v>15</v>
      </c>
      <c r="B14">
        <v>1288906</v>
      </c>
      <c r="C14">
        <v>163662.35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C1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182094</v>
      </c>
      <c r="C2">
        <v>23040.17</v>
      </c>
    </row>
    <row r="3" spans="1:3" x14ac:dyDescent="0.2">
      <c r="A3" t="s">
        <v>4</v>
      </c>
      <c r="B3">
        <v>119956</v>
      </c>
      <c r="C3">
        <v>15185.04</v>
      </c>
    </row>
    <row r="4" spans="1:3" x14ac:dyDescent="0.2">
      <c r="A4" t="s">
        <v>5</v>
      </c>
      <c r="B4">
        <v>143942</v>
      </c>
      <c r="C4">
        <v>18203.73</v>
      </c>
    </row>
    <row r="5" spans="1:3" x14ac:dyDescent="0.2">
      <c r="A5" t="s">
        <v>6</v>
      </c>
      <c r="B5">
        <v>118830</v>
      </c>
      <c r="C5">
        <v>15038.38</v>
      </c>
    </row>
    <row r="6" spans="1:3" x14ac:dyDescent="0.2">
      <c r="A6" t="s">
        <v>7</v>
      </c>
      <c r="B6">
        <v>113258</v>
      </c>
      <c r="C6">
        <v>17472.150000000001</v>
      </c>
    </row>
    <row r="7" spans="1:3" x14ac:dyDescent="0.2">
      <c r="A7" t="s">
        <v>8</v>
      </c>
      <c r="B7">
        <v>139782</v>
      </c>
      <c r="C7">
        <v>21353.81</v>
      </c>
    </row>
    <row r="8" spans="1:3" x14ac:dyDescent="0.2">
      <c r="A8" t="s">
        <v>9</v>
      </c>
      <c r="B8">
        <v>162120</v>
      </c>
      <c r="C8">
        <v>24788.2</v>
      </c>
    </row>
    <row r="9" spans="1:3" x14ac:dyDescent="0.2">
      <c r="A9" t="s">
        <v>10</v>
      </c>
      <c r="B9">
        <v>50894</v>
      </c>
      <c r="C9">
        <v>7779.88</v>
      </c>
    </row>
    <row r="10" spans="1:3" x14ac:dyDescent="0.2">
      <c r="A10" t="s">
        <v>11</v>
      </c>
      <c r="B10">
        <v>78754</v>
      </c>
      <c r="C10">
        <v>13776.67</v>
      </c>
    </row>
    <row r="11" spans="1:3" x14ac:dyDescent="0.2">
      <c r="A11" t="s">
        <v>12</v>
      </c>
      <c r="B11">
        <v>52253</v>
      </c>
      <c r="C11">
        <v>8679.1200000000008</v>
      </c>
    </row>
    <row r="12" spans="1:3" x14ac:dyDescent="0.2">
      <c r="A12" t="s">
        <v>13</v>
      </c>
      <c r="B12">
        <v>172078</v>
      </c>
      <c r="C12">
        <v>8823</v>
      </c>
    </row>
    <row r="13" spans="1:3" x14ac:dyDescent="0.2">
      <c r="A13" t="s">
        <v>14</v>
      </c>
      <c r="B13">
        <v>39534</v>
      </c>
      <c r="C13">
        <v>6592.66</v>
      </c>
    </row>
    <row r="14" spans="1:3" x14ac:dyDescent="0.2">
      <c r="A14" t="s">
        <v>15</v>
      </c>
      <c r="B14">
        <v>1373495</v>
      </c>
      <c r="C14">
        <v>180732.81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980E8-4171-8147-B4F7-A6643A099857}">
  <sheetPr>
    <tabColor rgb="FFFFFF00"/>
  </sheetPr>
  <dimension ref="A1:D14"/>
  <sheetViews>
    <sheetView workbookViewId="0">
      <selection sqref="A1:D14"/>
    </sheetView>
  </sheetViews>
  <sheetFormatPr baseColWidth="10" defaultRowHeight="15" x14ac:dyDescent="0.2"/>
  <sheetData>
    <row r="1" spans="1:4" x14ac:dyDescent="0.2">
      <c r="A1" s="2" t="s">
        <v>0</v>
      </c>
      <c r="B1" s="3" t="s">
        <v>1</v>
      </c>
      <c r="C1" s="3" t="s">
        <v>2</v>
      </c>
      <c r="D1" s="4"/>
    </row>
    <row r="2" spans="1:4" x14ac:dyDescent="0.2">
      <c r="A2" s="4" t="s">
        <v>3</v>
      </c>
      <c r="B2" s="4">
        <v>43624</v>
      </c>
      <c r="C2" s="4">
        <v>7263.42</v>
      </c>
      <c r="D2" s="4"/>
    </row>
    <row r="3" spans="1:4" x14ac:dyDescent="0.2">
      <c r="A3" s="4" t="s">
        <v>4</v>
      </c>
      <c r="B3" s="4">
        <v>46548</v>
      </c>
      <c r="C3" s="4">
        <v>7733.56</v>
      </c>
      <c r="D3" s="4"/>
    </row>
    <row r="4" spans="1:4" x14ac:dyDescent="0.2">
      <c r="A4" s="4" t="s">
        <v>5</v>
      </c>
      <c r="B4" s="4">
        <v>29091</v>
      </c>
      <c r="C4" s="4">
        <v>4870.6000000000004</v>
      </c>
      <c r="D4" s="4"/>
    </row>
    <row r="5" spans="1:4" x14ac:dyDescent="0.2">
      <c r="A5" s="4" t="s">
        <v>6</v>
      </c>
      <c r="B5" s="4">
        <v>40219</v>
      </c>
      <c r="C5" s="4">
        <v>6695.6</v>
      </c>
      <c r="D5" s="4"/>
    </row>
    <row r="6" spans="1:4" x14ac:dyDescent="0.2">
      <c r="A6" s="4" t="s">
        <v>7</v>
      </c>
      <c r="B6" s="4">
        <v>39509</v>
      </c>
      <c r="C6" s="4">
        <v>6575.14</v>
      </c>
      <c r="D6" s="4"/>
    </row>
    <row r="7" spans="1:4" x14ac:dyDescent="0.2">
      <c r="A7" s="4" t="s">
        <v>8</v>
      </c>
      <c r="B7" s="4">
        <v>28872</v>
      </c>
      <c r="C7" s="4">
        <v>4834.71</v>
      </c>
      <c r="D7" s="4"/>
    </row>
    <row r="8" spans="1:4" x14ac:dyDescent="0.2">
      <c r="A8" s="4" t="s">
        <v>9</v>
      </c>
      <c r="B8" s="4">
        <v>25899</v>
      </c>
      <c r="C8" s="4">
        <v>4347.12</v>
      </c>
      <c r="D8" s="4"/>
    </row>
    <row r="9" spans="1:4" x14ac:dyDescent="0.2">
      <c r="A9" s="4" t="s">
        <v>10</v>
      </c>
      <c r="B9" s="4">
        <v>57899</v>
      </c>
      <c r="C9" s="4">
        <v>9710.69</v>
      </c>
      <c r="D9" s="4"/>
    </row>
    <row r="10" spans="1:4" x14ac:dyDescent="0.2">
      <c r="A10" s="4" t="s">
        <v>11</v>
      </c>
      <c r="B10" s="4">
        <v>26656</v>
      </c>
      <c r="C10" s="4">
        <v>4479.82</v>
      </c>
      <c r="D10" s="4"/>
    </row>
    <row r="11" spans="1:4" x14ac:dyDescent="0.2">
      <c r="A11" s="4" t="s">
        <v>12</v>
      </c>
      <c r="B11" s="4">
        <v>28341</v>
      </c>
      <c r="C11" s="4">
        <v>4759.1499999999996</v>
      </c>
      <c r="D11" s="4"/>
    </row>
    <row r="12" spans="1:4" x14ac:dyDescent="0.2">
      <c r="A12" s="4" t="s">
        <v>13</v>
      </c>
      <c r="B12" s="4">
        <v>32353</v>
      </c>
      <c r="C12" s="4">
        <v>5405.59</v>
      </c>
      <c r="D12" s="4"/>
    </row>
    <row r="13" spans="1:4" x14ac:dyDescent="0.2">
      <c r="A13" s="4" t="s">
        <v>14</v>
      </c>
      <c r="B13" s="4">
        <v>25106</v>
      </c>
      <c r="C13" s="4">
        <v>4117.3500000000004</v>
      </c>
      <c r="D13" s="4"/>
    </row>
    <row r="14" spans="1:4" x14ac:dyDescent="0.2">
      <c r="A14" s="4" t="s">
        <v>15</v>
      </c>
      <c r="B14" s="4">
        <v>424117</v>
      </c>
      <c r="C14" s="4">
        <v>70792.75</v>
      </c>
      <c r="D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 me first</vt:lpstr>
      <vt:lpstr>Calculated Average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Pingfan</cp:lastModifiedBy>
  <dcterms:created xsi:type="dcterms:W3CDTF">2024-03-27T17:33:40Z</dcterms:created>
  <dcterms:modified xsi:type="dcterms:W3CDTF">2024-04-02T15:16:22Z</dcterms:modified>
</cp:coreProperties>
</file>